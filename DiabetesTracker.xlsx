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iway-my.sharepoint.com/personal/evertc02_heiway_net/Documents/Documents/streamlit-and-analytics/my_flask_app/DiabetesTracker/"/>
    </mc:Choice>
  </mc:AlternateContent>
  <xr:revisionPtr revIDLastSave="1391" documentId="13_ncr:1_{9E831668-67EE-495A-A50A-64C123260486}" xr6:coauthVersionLast="47" xr6:coauthVersionMax="47" xr10:uidLastSave="{81198BBA-F398-4628-963E-5188C38523E4}"/>
  <bookViews>
    <workbookView xWindow="-108" yWindow="-108" windowWidth="23256" windowHeight="13176" xr2:uid="{5319E4B5-F908-47AC-8797-7A3F1E090568}"/>
  </bookViews>
  <sheets>
    <sheet name="mai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30" i="2" l="1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91" i="2"/>
  <c r="K92" i="2"/>
  <c r="K93" i="2"/>
  <c r="K94" i="2"/>
  <c r="K95" i="2"/>
  <c r="K96" i="2"/>
  <c r="K97" i="2"/>
  <c r="K98" i="2"/>
  <c r="K99" i="2"/>
  <c r="K100" i="2"/>
  <c r="K101" i="2"/>
  <c r="K87" i="2"/>
  <c r="K88" i="2"/>
  <c r="K89" i="2"/>
  <c r="K90" i="2"/>
  <c r="K81" i="2"/>
  <c r="K82" i="2"/>
  <c r="K83" i="2"/>
  <c r="K84" i="2"/>
  <c r="K85" i="2"/>
  <c r="K86" i="2"/>
  <c r="K78" i="2"/>
  <c r="K79" i="2"/>
  <c r="K80" i="2"/>
  <c r="K72" i="2"/>
  <c r="K73" i="2"/>
  <c r="K74" i="2"/>
  <c r="K75" i="2"/>
  <c r="K76" i="2"/>
  <c r="K77" i="2"/>
  <c r="K70" i="2"/>
  <c r="K71" i="2"/>
  <c r="K64" i="2"/>
  <c r="K65" i="2"/>
  <c r="K66" i="2"/>
  <c r="K67" i="2"/>
  <c r="K68" i="2"/>
  <c r="K69" i="2"/>
  <c r="K62" i="2"/>
  <c r="K63" i="2"/>
  <c r="K61" i="2"/>
  <c r="K59" i="2"/>
  <c r="K60" i="2"/>
  <c r="K57" i="2"/>
  <c r="K58" i="2"/>
  <c r="K56" i="2"/>
  <c r="K54" i="2"/>
  <c r="K55" i="2"/>
  <c r="K53" i="2"/>
  <c r="K52" i="2"/>
  <c r="K50" i="2"/>
  <c r="K51" i="2"/>
  <c r="K49" i="2"/>
  <c r="K48" i="2"/>
  <c r="K47" i="2"/>
  <c r="K46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D22" i="2"/>
  <c r="D3" i="2" s="1"/>
  <c r="E3" i="2"/>
  <c r="F3" i="2"/>
  <c r="G3" i="2"/>
  <c r="H3" i="2"/>
  <c r="E2" i="2"/>
  <c r="F2" i="2"/>
  <c r="G2" i="2"/>
  <c r="H2" i="2"/>
  <c r="C3" i="2"/>
  <c r="B3" i="2"/>
  <c r="C2" i="2"/>
  <c r="B2" i="2"/>
  <c r="D2" i="2" l="1"/>
</calcChain>
</file>

<file path=xl/sharedStrings.xml><?xml version="1.0" encoding="utf-8"?>
<sst xmlns="http://schemas.openxmlformats.org/spreadsheetml/2006/main" count="23" uniqueCount="15">
  <si>
    <t>Weight</t>
  </si>
  <si>
    <t xml:space="preserve">Date </t>
  </si>
  <si>
    <t xml:space="preserve"> </t>
  </si>
  <si>
    <t>Morning (07:15)</t>
  </si>
  <si>
    <t>Lunch (12:50)</t>
  </si>
  <si>
    <t>BedTime (21:45)</t>
  </si>
  <si>
    <t>Dinner (18:30)</t>
  </si>
  <si>
    <t>Means</t>
  </si>
  <si>
    <t>Best</t>
  </si>
  <si>
    <t>Insulin PM</t>
  </si>
  <si>
    <t>Insulin AM</t>
  </si>
  <si>
    <t>Post Breakfast</t>
  </si>
  <si>
    <t>Post Lunch</t>
  </si>
  <si>
    <t>`</t>
  </si>
  <si>
    <t>Daily Insulin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</si>
</sst>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5" fontId="0" fillId="0" borderId="0" xfId="0" applyNumberFormat="1"/>
    <xf numFmtId="16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164" formatCode="0.0"/>
    </dxf>
    <dxf>
      <numFmt numFmtId="20" formatCode="dd\-mmm\-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2025371828521437E-2"/>
          <c:y val="0.15231060688463238"/>
          <c:w val="0.90297462817147855"/>
          <c:h val="0.72386672856611889"/>
        </c:manualLayout>
      </c:layout>
      <c:lineChart>
        <c:grouping val="standard"/>
        <c:varyColors val="0"/>
        <c:ser>
          <c:idx val="0"/>
          <c:order val="0"/>
          <c:tx>
            <c:strRef>
              <c:f>main!$B$5</c:f>
              <c:strCache>
                <c:ptCount val="1"/>
                <c:pt idx="0">
                  <c:v>Weight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movingAvg"/>
            <c:period val="7"/>
            <c:dispRSqr val="0"/>
            <c:dispEq val="0"/>
          </c:trendline>
          <c:cat>
            <c:numRef>
              <c:f>main!$A$6:$A$130</c:f>
              <c:numCache>
                <c:formatCode>d\-mmm\-yy</c:formatCode>
                <c:ptCount val="125"/>
                <c:pt idx="0">
                  <c:v>45463</c:v>
                </c:pt>
                <c:pt idx="1">
                  <c:v>45464</c:v>
                </c:pt>
                <c:pt idx="2">
                  <c:v>45465</c:v>
                </c:pt>
                <c:pt idx="3">
                  <c:v>45466</c:v>
                </c:pt>
                <c:pt idx="4">
                  <c:v>45467</c:v>
                </c:pt>
                <c:pt idx="5">
                  <c:v>45468</c:v>
                </c:pt>
                <c:pt idx="6">
                  <c:v>45469</c:v>
                </c:pt>
                <c:pt idx="7">
                  <c:v>45470</c:v>
                </c:pt>
                <c:pt idx="8">
                  <c:v>45471</c:v>
                </c:pt>
                <c:pt idx="9">
                  <c:v>45472</c:v>
                </c:pt>
                <c:pt idx="10">
                  <c:v>45473</c:v>
                </c:pt>
                <c:pt idx="11">
                  <c:v>45474</c:v>
                </c:pt>
                <c:pt idx="12">
                  <c:v>45475</c:v>
                </c:pt>
                <c:pt idx="13">
                  <c:v>45476</c:v>
                </c:pt>
                <c:pt idx="14">
                  <c:v>45477</c:v>
                </c:pt>
                <c:pt idx="15">
                  <c:v>45478</c:v>
                </c:pt>
                <c:pt idx="16">
                  <c:v>45479</c:v>
                </c:pt>
                <c:pt idx="17">
                  <c:v>45480</c:v>
                </c:pt>
                <c:pt idx="18">
                  <c:v>45481</c:v>
                </c:pt>
                <c:pt idx="19">
                  <c:v>45482</c:v>
                </c:pt>
                <c:pt idx="20">
                  <c:v>45483</c:v>
                </c:pt>
                <c:pt idx="21">
                  <c:v>45484</c:v>
                </c:pt>
                <c:pt idx="22">
                  <c:v>45485</c:v>
                </c:pt>
                <c:pt idx="23">
                  <c:v>45486</c:v>
                </c:pt>
                <c:pt idx="24">
                  <c:v>45487</c:v>
                </c:pt>
                <c:pt idx="25">
                  <c:v>45488</c:v>
                </c:pt>
                <c:pt idx="26">
                  <c:v>45489</c:v>
                </c:pt>
                <c:pt idx="27">
                  <c:v>45490</c:v>
                </c:pt>
                <c:pt idx="28">
                  <c:v>45491</c:v>
                </c:pt>
                <c:pt idx="29">
                  <c:v>45492</c:v>
                </c:pt>
                <c:pt idx="30">
                  <c:v>45493</c:v>
                </c:pt>
                <c:pt idx="31">
                  <c:v>45494</c:v>
                </c:pt>
                <c:pt idx="32">
                  <c:v>45495</c:v>
                </c:pt>
                <c:pt idx="33">
                  <c:v>45496</c:v>
                </c:pt>
                <c:pt idx="34">
                  <c:v>45497</c:v>
                </c:pt>
                <c:pt idx="35">
                  <c:v>45498</c:v>
                </c:pt>
                <c:pt idx="36">
                  <c:v>45499</c:v>
                </c:pt>
                <c:pt idx="37">
                  <c:v>45500</c:v>
                </c:pt>
                <c:pt idx="38">
                  <c:v>45501</c:v>
                </c:pt>
                <c:pt idx="39">
                  <c:v>45502</c:v>
                </c:pt>
                <c:pt idx="40">
                  <c:v>45503</c:v>
                </c:pt>
                <c:pt idx="41">
                  <c:v>45504</c:v>
                </c:pt>
                <c:pt idx="42">
                  <c:v>45505</c:v>
                </c:pt>
                <c:pt idx="43">
                  <c:v>45506</c:v>
                </c:pt>
                <c:pt idx="44">
                  <c:v>45507</c:v>
                </c:pt>
                <c:pt idx="45">
                  <c:v>45508</c:v>
                </c:pt>
                <c:pt idx="46">
                  <c:v>45509</c:v>
                </c:pt>
                <c:pt idx="47">
                  <c:v>45510</c:v>
                </c:pt>
                <c:pt idx="48">
                  <c:v>45511</c:v>
                </c:pt>
                <c:pt idx="49">
                  <c:v>45512</c:v>
                </c:pt>
                <c:pt idx="50">
                  <c:v>45513</c:v>
                </c:pt>
                <c:pt idx="51">
                  <c:v>45514</c:v>
                </c:pt>
                <c:pt idx="52">
                  <c:v>45515</c:v>
                </c:pt>
                <c:pt idx="53">
                  <c:v>45516</c:v>
                </c:pt>
                <c:pt idx="54">
                  <c:v>45517</c:v>
                </c:pt>
                <c:pt idx="55">
                  <c:v>45518</c:v>
                </c:pt>
                <c:pt idx="56">
                  <c:v>45519</c:v>
                </c:pt>
                <c:pt idx="57">
                  <c:v>45520</c:v>
                </c:pt>
                <c:pt idx="58">
                  <c:v>45521</c:v>
                </c:pt>
                <c:pt idx="59">
                  <c:v>45522</c:v>
                </c:pt>
                <c:pt idx="60">
                  <c:v>45523</c:v>
                </c:pt>
                <c:pt idx="61">
                  <c:v>45524</c:v>
                </c:pt>
                <c:pt idx="62">
                  <c:v>45525</c:v>
                </c:pt>
                <c:pt idx="63">
                  <c:v>45526</c:v>
                </c:pt>
                <c:pt idx="64">
                  <c:v>45527</c:v>
                </c:pt>
                <c:pt idx="65">
                  <c:v>45528</c:v>
                </c:pt>
                <c:pt idx="66">
                  <c:v>45529</c:v>
                </c:pt>
                <c:pt idx="67">
                  <c:v>45530</c:v>
                </c:pt>
                <c:pt idx="68">
                  <c:v>45531</c:v>
                </c:pt>
                <c:pt idx="69">
                  <c:v>45532</c:v>
                </c:pt>
                <c:pt idx="70">
                  <c:v>45533</c:v>
                </c:pt>
                <c:pt idx="71">
                  <c:v>45534</c:v>
                </c:pt>
                <c:pt idx="72">
                  <c:v>45535</c:v>
                </c:pt>
                <c:pt idx="73">
                  <c:v>45536</c:v>
                </c:pt>
                <c:pt idx="74">
                  <c:v>45537</c:v>
                </c:pt>
                <c:pt idx="75">
                  <c:v>45538</c:v>
                </c:pt>
                <c:pt idx="76">
                  <c:v>45539</c:v>
                </c:pt>
                <c:pt idx="77">
                  <c:v>45540</c:v>
                </c:pt>
                <c:pt idx="78">
                  <c:v>45541</c:v>
                </c:pt>
                <c:pt idx="79">
                  <c:v>45542</c:v>
                </c:pt>
                <c:pt idx="80">
                  <c:v>45543</c:v>
                </c:pt>
                <c:pt idx="81">
                  <c:v>45544</c:v>
                </c:pt>
                <c:pt idx="82">
                  <c:v>45545</c:v>
                </c:pt>
                <c:pt idx="83">
                  <c:v>45546</c:v>
                </c:pt>
                <c:pt idx="84">
                  <c:v>45547</c:v>
                </c:pt>
                <c:pt idx="85">
                  <c:v>45548</c:v>
                </c:pt>
                <c:pt idx="86">
                  <c:v>45549</c:v>
                </c:pt>
                <c:pt idx="87">
                  <c:v>45550</c:v>
                </c:pt>
                <c:pt idx="88">
                  <c:v>45551</c:v>
                </c:pt>
                <c:pt idx="89">
                  <c:v>45552</c:v>
                </c:pt>
                <c:pt idx="90">
                  <c:v>45553</c:v>
                </c:pt>
                <c:pt idx="91">
                  <c:v>45554</c:v>
                </c:pt>
                <c:pt idx="92">
                  <c:v>45555</c:v>
                </c:pt>
                <c:pt idx="93">
                  <c:v>45556</c:v>
                </c:pt>
                <c:pt idx="94">
                  <c:v>45557</c:v>
                </c:pt>
                <c:pt idx="95">
                  <c:v>45558</c:v>
                </c:pt>
                <c:pt idx="96">
                  <c:v>45559</c:v>
                </c:pt>
                <c:pt idx="97">
                  <c:v>45560</c:v>
                </c:pt>
                <c:pt idx="98">
                  <c:v>45561</c:v>
                </c:pt>
                <c:pt idx="99">
                  <c:v>45562</c:v>
                </c:pt>
                <c:pt idx="100">
                  <c:v>45563</c:v>
                </c:pt>
                <c:pt idx="101">
                  <c:v>45564</c:v>
                </c:pt>
                <c:pt idx="102">
                  <c:v>45565</c:v>
                </c:pt>
                <c:pt idx="103">
                  <c:v>45566</c:v>
                </c:pt>
                <c:pt idx="104">
                  <c:v>45567</c:v>
                </c:pt>
                <c:pt idx="105">
                  <c:v>45568</c:v>
                </c:pt>
                <c:pt idx="106">
                  <c:v>45569</c:v>
                </c:pt>
                <c:pt idx="107">
                  <c:v>45570</c:v>
                </c:pt>
                <c:pt idx="108">
                  <c:v>45571</c:v>
                </c:pt>
                <c:pt idx="109">
                  <c:v>45572</c:v>
                </c:pt>
                <c:pt idx="110">
                  <c:v>45573</c:v>
                </c:pt>
                <c:pt idx="111">
                  <c:v>45574</c:v>
                </c:pt>
                <c:pt idx="112">
                  <c:v>45575</c:v>
                </c:pt>
                <c:pt idx="113">
                  <c:v>45576</c:v>
                </c:pt>
                <c:pt idx="114">
                  <c:v>45577</c:v>
                </c:pt>
                <c:pt idx="115">
                  <c:v>45578</c:v>
                </c:pt>
                <c:pt idx="116">
                  <c:v>45579</c:v>
                </c:pt>
                <c:pt idx="117">
                  <c:v>45580</c:v>
                </c:pt>
                <c:pt idx="118">
                  <c:v>45581</c:v>
                </c:pt>
                <c:pt idx="119">
                  <c:v>45582</c:v>
                </c:pt>
                <c:pt idx="120">
                  <c:v>45583</c:v>
                </c:pt>
                <c:pt idx="121">
                  <c:v>45584</c:v>
                </c:pt>
                <c:pt idx="122">
                  <c:v>45585</c:v>
                </c:pt>
                <c:pt idx="123">
                  <c:v>45586</c:v>
                </c:pt>
                <c:pt idx="124">
                  <c:v>45587</c:v>
                </c:pt>
              </c:numCache>
            </c:numRef>
          </c:cat>
          <c:val>
            <c:numRef>
              <c:f>main!$B$6:$B$130</c:f>
              <c:numCache>
                <c:formatCode>0.0</c:formatCode>
                <c:ptCount val="125"/>
                <c:pt idx="0">
                  <c:v>72.400000000000006</c:v>
                </c:pt>
                <c:pt idx="1">
                  <c:v>71.2</c:v>
                </c:pt>
                <c:pt idx="2">
                  <c:v>73.400000000000006</c:v>
                </c:pt>
                <c:pt idx="3">
                  <c:v>72.900000000000006</c:v>
                </c:pt>
                <c:pt idx="4">
                  <c:v>73.5</c:v>
                </c:pt>
                <c:pt idx="5">
                  <c:v>73</c:v>
                </c:pt>
                <c:pt idx="6">
                  <c:v>73.7</c:v>
                </c:pt>
                <c:pt idx="7">
                  <c:v>74</c:v>
                </c:pt>
                <c:pt idx="8">
                  <c:v>74.5</c:v>
                </c:pt>
                <c:pt idx="9">
                  <c:v>75.3</c:v>
                </c:pt>
                <c:pt idx="10">
                  <c:v>75.099999999999994</c:v>
                </c:pt>
                <c:pt idx="11">
                  <c:v>74.3</c:v>
                </c:pt>
                <c:pt idx="12">
                  <c:v>74.7</c:v>
                </c:pt>
                <c:pt idx="13">
                  <c:v>74.099999999999994</c:v>
                </c:pt>
                <c:pt idx="14">
                  <c:v>74.7</c:v>
                </c:pt>
                <c:pt idx="15">
                  <c:v>74.7</c:v>
                </c:pt>
                <c:pt idx="16">
                  <c:v>75.599999999999994</c:v>
                </c:pt>
                <c:pt idx="17">
                  <c:v>75.599999999999994</c:v>
                </c:pt>
                <c:pt idx="18">
                  <c:v>75</c:v>
                </c:pt>
                <c:pt idx="19">
                  <c:v>75.5</c:v>
                </c:pt>
                <c:pt idx="20">
                  <c:v>75.8</c:v>
                </c:pt>
                <c:pt idx="21">
                  <c:v>75.5</c:v>
                </c:pt>
                <c:pt idx="22">
                  <c:v>75.599999999999994</c:v>
                </c:pt>
                <c:pt idx="23">
                  <c:v>75.5</c:v>
                </c:pt>
                <c:pt idx="24">
                  <c:v>76.3</c:v>
                </c:pt>
                <c:pt idx="25">
                  <c:v>76.2</c:v>
                </c:pt>
                <c:pt idx="26">
                  <c:v>76.599999999999994</c:v>
                </c:pt>
                <c:pt idx="27">
                  <c:v>77</c:v>
                </c:pt>
                <c:pt idx="28">
                  <c:v>77.3</c:v>
                </c:pt>
                <c:pt idx="29">
                  <c:v>76.8</c:v>
                </c:pt>
                <c:pt idx="30">
                  <c:v>77.099999999999994</c:v>
                </c:pt>
                <c:pt idx="31">
                  <c:v>78.2</c:v>
                </c:pt>
                <c:pt idx="32">
                  <c:v>77.8</c:v>
                </c:pt>
                <c:pt idx="33">
                  <c:v>76.900000000000006</c:v>
                </c:pt>
                <c:pt idx="34">
                  <c:v>77.8</c:v>
                </c:pt>
                <c:pt idx="35">
                  <c:v>77.3</c:v>
                </c:pt>
                <c:pt idx="36">
                  <c:v>78.3</c:v>
                </c:pt>
                <c:pt idx="37">
                  <c:v>78</c:v>
                </c:pt>
                <c:pt idx="38">
                  <c:v>78.599999999999994</c:v>
                </c:pt>
                <c:pt idx="39">
                  <c:v>78.3</c:v>
                </c:pt>
                <c:pt idx="40">
                  <c:v>78.2</c:v>
                </c:pt>
                <c:pt idx="41">
                  <c:v>78.400000000000006</c:v>
                </c:pt>
                <c:pt idx="42">
                  <c:v>79</c:v>
                </c:pt>
                <c:pt idx="43">
                  <c:v>78.8</c:v>
                </c:pt>
                <c:pt idx="44">
                  <c:v>79.900000000000006</c:v>
                </c:pt>
                <c:pt idx="45">
                  <c:v>80.099999999999994</c:v>
                </c:pt>
                <c:pt idx="46">
                  <c:v>80.099999999999994</c:v>
                </c:pt>
                <c:pt idx="47">
                  <c:v>79.400000000000006</c:v>
                </c:pt>
                <c:pt idx="48">
                  <c:v>79.900000000000006</c:v>
                </c:pt>
                <c:pt idx="49">
                  <c:v>79.5</c:v>
                </c:pt>
                <c:pt idx="50">
                  <c:v>79.8</c:v>
                </c:pt>
                <c:pt idx="51">
                  <c:v>80.7</c:v>
                </c:pt>
                <c:pt idx="52">
                  <c:v>80.900000000000006</c:v>
                </c:pt>
                <c:pt idx="53">
                  <c:v>80.400000000000006</c:v>
                </c:pt>
                <c:pt idx="54">
                  <c:v>80.900000000000006</c:v>
                </c:pt>
                <c:pt idx="55">
                  <c:v>79.900000000000006</c:v>
                </c:pt>
                <c:pt idx="56">
                  <c:v>79.400000000000006</c:v>
                </c:pt>
                <c:pt idx="57">
                  <c:v>79.900000000000006</c:v>
                </c:pt>
                <c:pt idx="58">
                  <c:v>80.5</c:v>
                </c:pt>
                <c:pt idx="59">
                  <c:v>81</c:v>
                </c:pt>
                <c:pt idx="60">
                  <c:v>81.3</c:v>
                </c:pt>
                <c:pt idx="61">
                  <c:v>80.2</c:v>
                </c:pt>
                <c:pt idx="62">
                  <c:v>80.3</c:v>
                </c:pt>
                <c:pt idx="63">
                  <c:v>80.400000000000006</c:v>
                </c:pt>
                <c:pt idx="64">
                  <c:v>81</c:v>
                </c:pt>
                <c:pt idx="65">
                  <c:v>80.7</c:v>
                </c:pt>
                <c:pt idx="66">
                  <c:v>81.3</c:v>
                </c:pt>
                <c:pt idx="67">
                  <c:v>82</c:v>
                </c:pt>
                <c:pt idx="68">
                  <c:v>81.099999999999994</c:v>
                </c:pt>
                <c:pt idx="69">
                  <c:v>81.099999999999994</c:v>
                </c:pt>
                <c:pt idx="70">
                  <c:v>81</c:v>
                </c:pt>
                <c:pt idx="71">
                  <c:v>81.400000000000006</c:v>
                </c:pt>
                <c:pt idx="72">
                  <c:v>81.7</c:v>
                </c:pt>
                <c:pt idx="73">
                  <c:v>81.2</c:v>
                </c:pt>
                <c:pt idx="74">
                  <c:v>80.8</c:v>
                </c:pt>
                <c:pt idx="75">
                  <c:v>80.400000000000006</c:v>
                </c:pt>
                <c:pt idx="76">
                  <c:v>81.3</c:v>
                </c:pt>
                <c:pt idx="77">
                  <c:v>82.5</c:v>
                </c:pt>
                <c:pt idx="78">
                  <c:v>82.3</c:v>
                </c:pt>
                <c:pt idx="79">
                  <c:v>82.7</c:v>
                </c:pt>
                <c:pt idx="80">
                  <c:v>81</c:v>
                </c:pt>
                <c:pt idx="81">
                  <c:v>81.2</c:v>
                </c:pt>
                <c:pt idx="82">
                  <c:v>81.8</c:v>
                </c:pt>
                <c:pt idx="83">
                  <c:v>81.3</c:v>
                </c:pt>
                <c:pt idx="84">
                  <c:v>81.3</c:v>
                </c:pt>
                <c:pt idx="85">
                  <c:v>82.5</c:v>
                </c:pt>
                <c:pt idx="86">
                  <c:v>82</c:v>
                </c:pt>
                <c:pt idx="87">
                  <c:v>81.8</c:v>
                </c:pt>
                <c:pt idx="88">
                  <c:v>82</c:v>
                </c:pt>
                <c:pt idx="89">
                  <c:v>81.5</c:v>
                </c:pt>
                <c:pt idx="90">
                  <c:v>81.5</c:v>
                </c:pt>
                <c:pt idx="91">
                  <c:v>81</c:v>
                </c:pt>
                <c:pt idx="92">
                  <c:v>80.900000000000006</c:v>
                </c:pt>
                <c:pt idx="93">
                  <c:v>80.7</c:v>
                </c:pt>
                <c:pt idx="94">
                  <c:v>80.599999999999994</c:v>
                </c:pt>
                <c:pt idx="95">
                  <c:v>81.2</c:v>
                </c:pt>
                <c:pt idx="96">
                  <c:v>81.400000000000006</c:v>
                </c:pt>
                <c:pt idx="97">
                  <c:v>82.1</c:v>
                </c:pt>
                <c:pt idx="98">
                  <c:v>81.900000000000006</c:v>
                </c:pt>
                <c:pt idx="99">
                  <c:v>81.3</c:v>
                </c:pt>
                <c:pt idx="100">
                  <c:v>81.3</c:v>
                </c:pt>
                <c:pt idx="101">
                  <c:v>81.3</c:v>
                </c:pt>
                <c:pt idx="102">
                  <c:v>80.8</c:v>
                </c:pt>
                <c:pt idx="103">
                  <c:v>81.7</c:v>
                </c:pt>
                <c:pt idx="104">
                  <c:v>82.1</c:v>
                </c:pt>
                <c:pt idx="105">
                  <c:v>82.9</c:v>
                </c:pt>
                <c:pt idx="106">
                  <c:v>82.1</c:v>
                </c:pt>
                <c:pt idx="107">
                  <c:v>82.6</c:v>
                </c:pt>
                <c:pt idx="108">
                  <c:v>82.2</c:v>
                </c:pt>
                <c:pt idx="109">
                  <c:v>82.1</c:v>
                </c:pt>
                <c:pt idx="110">
                  <c:v>81.599999999999994</c:v>
                </c:pt>
                <c:pt idx="111">
                  <c:v>80.900000000000006</c:v>
                </c:pt>
                <c:pt idx="112">
                  <c:v>82.5</c:v>
                </c:pt>
                <c:pt idx="113">
                  <c:v>81.3</c:v>
                </c:pt>
                <c:pt idx="114">
                  <c:v>81.5</c:v>
                </c:pt>
                <c:pt idx="115">
                  <c:v>81</c:v>
                </c:pt>
                <c:pt idx="116">
                  <c:v>80.900000000000006</c:v>
                </c:pt>
                <c:pt idx="117">
                  <c:v>80.400000000000006</c:v>
                </c:pt>
                <c:pt idx="118">
                  <c:v>79.5</c:v>
                </c:pt>
                <c:pt idx="119">
                  <c:v>80.2</c:v>
                </c:pt>
                <c:pt idx="120">
                  <c:v>82.1</c:v>
                </c:pt>
                <c:pt idx="121">
                  <c:v>81.599999999999994</c:v>
                </c:pt>
                <c:pt idx="122">
                  <c:v>80.900000000000006</c:v>
                </c:pt>
                <c:pt idx="123">
                  <c:v>82</c:v>
                </c:pt>
                <c:pt idx="124">
                  <c:v>81.2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15-412D-A2FA-BBAB00A9F6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8062944"/>
        <c:axId val="328063424"/>
      </c:lineChart>
      <c:dateAx>
        <c:axId val="328062944"/>
        <c:scaling>
          <c:orientation val="minMax"/>
        </c:scaling>
        <c:delete val="0"/>
        <c:axPos val="b"/>
        <c:numFmt formatCode="d\-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063424"/>
        <c:crosses val="autoZero"/>
        <c:auto val="1"/>
        <c:lblOffset val="100"/>
        <c:baseTimeUnit val="days"/>
        <c:majorUnit val="7"/>
        <c:majorTimeUnit val="days"/>
      </c:dateAx>
      <c:valAx>
        <c:axId val="328063424"/>
        <c:scaling>
          <c:orientation val="minMax"/>
          <c:min val="7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062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800"/>
              <a:t>All BloodGlucose Readings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7736989937087363E-2"/>
          <c:y val="7.2880655584035267E-2"/>
          <c:w val="0.90297462817147855"/>
          <c:h val="0.7400340360941946"/>
        </c:manualLayout>
      </c:layout>
      <c:lineChart>
        <c:grouping val="standard"/>
        <c:varyColors val="0"/>
        <c:ser>
          <c:idx val="0"/>
          <c:order val="0"/>
          <c:tx>
            <c:strRef>
              <c:f>main!$C$5</c:f>
              <c:strCache>
                <c:ptCount val="1"/>
                <c:pt idx="0">
                  <c:v>Morning (07:15)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main!$A$6:$A$130</c:f>
              <c:numCache>
                <c:formatCode>d\-mmm\-yy</c:formatCode>
                <c:ptCount val="125"/>
                <c:pt idx="0">
                  <c:v>45463</c:v>
                </c:pt>
                <c:pt idx="1">
                  <c:v>45464</c:v>
                </c:pt>
                <c:pt idx="2">
                  <c:v>45465</c:v>
                </c:pt>
                <c:pt idx="3">
                  <c:v>45466</c:v>
                </c:pt>
                <c:pt idx="4">
                  <c:v>45467</c:v>
                </c:pt>
                <c:pt idx="5">
                  <c:v>45468</c:v>
                </c:pt>
                <c:pt idx="6">
                  <c:v>45469</c:v>
                </c:pt>
                <c:pt idx="7">
                  <c:v>45470</c:v>
                </c:pt>
                <c:pt idx="8">
                  <c:v>45471</c:v>
                </c:pt>
                <c:pt idx="9">
                  <c:v>45472</c:v>
                </c:pt>
                <c:pt idx="10">
                  <c:v>45473</c:v>
                </c:pt>
                <c:pt idx="11">
                  <c:v>45474</c:v>
                </c:pt>
                <c:pt idx="12">
                  <c:v>45475</c:v>
                </c:pt>
                <c:pt idx="13">
                  <c:v>45476</c:v>
                </c:pt>
                <c:pt idx="14">
                  <c:v>45477</c:v>
                </c:pt>
                <c:pt idx="15">
                  <c:v>45478</c:v>
                </c:pt>
                <c:pt idx="16">
                  <c:v>45479</c:v>
                </c:pt>
                <c:pt idx="17">
                  <c:v>45480</c:v>
                </c:pt>
                <c:pt idx="18">
                  <c:v>45481</c:v>
                </c:pt>
                <c:pt idx="19">
                  <c:v>45482</c:v>
                </c:pt>
                <c:pt idx="20">
                  <c:v>45483</c:v>
                </c:pt>
                <c:pt idx="21">
                  <c:v>45484</c:v>
                </c:pt>
                <c:pt idx="22">
                  <c:v>45485</c:v>
                </c:pt>
                <c:pt idx="23">
                  <c:v>45486</c:v>
                </c:pt>
                <c:pt idx="24">
                  <c:v>45487</c:v>
                </c:pt>
                <c:pt idx="25">
                  <c:v>45488</c:v>
                </c:pt>
                <c:pt idx="26">
                  <c:v>45489</c:v>
                </c:pt>
                <c:pt idx="27">
                  <c:v>45490</c:v>
                </c:pt>
                <c:pt idx="28">
                  <c:v>45491</c:v>
                </c:pt>
                <c:pt idx="29">
                  <c:v>45492</c:v>
                </c:pt>
                <c:pt idx="30">
                  <c:v>45493</c:v>
                </c:pt>
                <c:pt idx="31">
                  <c:v>45494</c:v>
                </c:pt>
                <c:pt idx="32">
                  <c:v>45495</c:v>
                </c:pt>
                <c:pt idx="33">
                  <c:v>45496</c:v>
                </c:pt>
                <c:pt idx="34">
                  <c:v>45497</c:v>
                </c:pt>
                <c:pt idx="35">
                  <c:v>45498</c:v>
                </c:pt>
                <c:pt idx="36">
                  <c:v>45499</c:v>
                </c:pt>
                <c:pt idx="37">
                  <c:v>45500</c:v>
                </c:pt>
                <c:pt idx="38">
                  <c:v>45501</c:v>
                </c:pt>
                <c:pt idx="39">
                  <c:v>45502</c:v>
                </c:pt>
                <c:pt idx="40">
                  <c:v>45503</c:v>
                </c:pt>
                <c:pt idx="41">
                  <c:v>45504</c:v>
                </c:pt>
                <c:pt idx="42">
                  <c:v>45505</c:v>
                </c:pt>
                <c:pt idx="43">
                  <c:v>45506</c:v>
                </c:pt>
                <c:pt idx="44">
                  <c:v>45507</c:v>
                </c:pt>
                <c:pt idx="45">
                  <c:v>45508</c:v>
                </c:pt>
                <c:pt idx="46">
                  <c:v>45509</c:v>
                </c:pt>
                <c:pt idx="47">
                  <c:v>45510</c:v>
                </c:pt>
                <c:pt idx="48">
                  <c:v>45511</c:v>
                </c:pt>
                <c:pt idx="49">
                  <c:v>45512</c:v>
                </c:pt>
                <c:pt idx="50">
                  <c:v>45513</c:v>
                </c:pt>
                <c:pt idx="51">
                  <c:v>45514</c:v>
                </c:pt>
                <c:pt idx="52">
                  <c:v>45515</c:v>
                </c:pt>
                <c:pt idx="53">
                  <c:v>45516</c:v>
                </c:pt>
                <c:pt idx="54">
                  <c:v>45517</c:v>
                </c:pt>
                <c:pt idx="55">
                  <c:v>45518</c:v>
                </c:pt>
                <c:pt idx="56">
                  <c:v>45519</c:v>
                </c:pt>
                <c:pt idx="57">
                  <c:v>45520</c:v>
                </c:pt>
                <c:pt idx="58">
                  <c:v>45521</c:v>
                </c:pt>
                <c:pt idx="59">
                  <c:v>45522</c:v>
                </c:pt>
                <c:pt idx="60">
                  <c:v>45523</c:v>
                </c:pt>
                <c:pt idx="61">
                  <c:v>45524</c:v>
                </c:pt>
                <c:pt idx="62">
                  <c:v>45525</c:v>
                </c:pt>
                <c:pt idx="63">
                  <c:v>45526</c:v>
                </c:pt>
                <c:pt idx="64">
                  <c:v>45527</c:v>
                </c:pt>
                <c:pt idx="65">
                  <c:v>45528</c:v>
                </c:pt>
                <c:pt idx="66">
                  <c:v>45529</c:v>
                </c:pt>
                <c:pt idx="67">
                  <c:v>45530</c:v>
                </c:pt>
                <c:pt idx="68">
                  <c:v>45531</c:v>
                </c:pt>
                <c:pt idx="69">
                  <c:v>45532</c:v>
                </c:pt>
                <c:pt idx="70">
                  <c:v>45533</c:v>
                </c:pt>
                <c:pt idx="71">
                  <c:v>45534</c:v>
                </c:pt>
                <c:pt idx="72">
                  <c:v>45535</c:v>
                </c:pt>
                <c:pt idx="73">
                  <c:v>45536</c:v>
                </c:pt>
                <c:pt idx="74">
                  <c:v>45537</c:v>
                </c:pt>
                <c:pt idx="75">
                  <c:v>45538</c:v>
                </c:pt>
                <c:pt idx="76">
                  <c:v>45539</c:v>
                </c:pt>
                <c:pt idx="77">
                  <c:v>45540</c:v>
                </c:pt>
                <c:pt idx="78">
                  <c:v>45541</c:v>
                </c:pt>
                <c:pt idx="79">
                  <c:v>45542</c:v>
                </c:pt>
                <c:pt idx="80">
                  <c:v>45543</c:v>
                </c:pt>
                <c:pt idx="81">
                  <c:v>45544</c:v>
                </c:pt>
                <c:pt idx="82">
                  <c:v>45545</c:v>
                </c:pt>
                <c:pt idx="83">
                  <c:v>45546</c:v>
                </c:pt>
                <c:pt idx="84">
                  <c:v>45547</c:v>
                </c:pt>
                <c:pt idx="85">
                  <c:v>45548</c:v>
                </c:pt>
                <c:pt idx="86">
                  <c:v>45549</c:v>
                </c:pt>
                <c:pt idx="87">
                  <c:v>45550</c:v>
                </c:pt>
                <c:pt idx="88">
                  <c:v>45551</c:v>
                </c:pt>
                <c:pt idx="89">
                  <c:v>45552</c:v>
                </c:pt>
                <c:pt idx="90">
                  <c:v>45553</c:v>
                </c:pt>
                <c:pt idx="91">
                  <c:v>45554</c:v>
                </c:pt>
                <c:pt idx="92">
                  <c:v>45555</c:v>
                </c:pt>
                <c:pt idx="93">
                  <c:v>45556</c:v>
                </c:pt>
                <c:pt idx="94">
                  <c:v>45557</c:v>
                </c:pt>
                <c:pt idx="95">
                  <c:v>45558</c:v>
                </c:pt>
                <c:pt idx="96">
                  <c:v>45559</c:v>
                </c:pt>
                <c:pt idx="97">
                  <c:v>45560</c:v>
                </c:pt>
                <c:pt idx="98">
                  <c:v>45561</c:v>
                </c:pt>
                <c:pt idx="99">
                  <c:v>45562</c:v>
                </c:pt>
                <c:pt idx="100">
                  <c:v>45563</c:v>
                </c:pt>
                <c:pt idx="101">
                  <c:v>45564</c:v>
                </c:pt>
                <c:pt idx="102">
                  <c:v>45565</c:v>
                </c:pt>
                <c:pt idx="103">
                  <c:v>45566</c:v>
                </c:pt>
                <c:pt idx="104">
                  <c:v>45567</c:v>
                </c:pt>
                <c:pt idx="105">
                  <c:v>45568</c:v>
                </c:pt>
                <c:pt idx="106">
                  <c:v>45569</c:v>
                </c:pt>
                <c:pt idx="107">
                  <c:v>45570</c:v>
                </c:pt>
                <c:pt idx="108">
                  <c:v>45571</c:v>
                </c:pt>
                <c:pt idx="109">
                  <c:v>45572</c:v>
                </c:pt>
                <c:pt idx="110">
                  <c:v>45573</c:v>
                </c:pt>
                <c:pt idx="111">
                  <c:v>45574</c:v>
                </c:pt>
                <c:pt idx="112">
                  <c:v>45575</c:v>
                </c:pt>
                <c:pt idx="113">
                  <c:v>45576</c:v>
                </c:pt>
                <c:pt idx="114">
                  <c:v>45577</c:v>
                </c:pt>
                <c:pt idx="115">
                  <c:v>45578</c:v>
                </c:pt>
                <c:pt idx="116">
                  <c:v>45579</c:v>
                </c:pt>
                <c:pt idx="117">
                  <c:v>45580</c:v>
                </c:pt>
                <c:pt idx="118">
                  <c:v>45581</c:v>
                </c:pt>
                <c:pt idx="119">
                  <c:v>45582</c:v>
                </c:pt>
                <c:pt idx="120">
                  <c:v>45583</c:v>
                </c:pt>
                <c:pt idx="121">
                  <c:v>45584</c:v>
                </c:pt>
                <c:pt idx="122">
                  <c:v>45585</c:v>
                </c:pt>
                <c:pt idx="123">
                  <c:v>45586</c:v>
                </c:pt>
                <c:pt idx="124">
                  <c:v>45587</c:v>
                </c:pt>
              </c:numCache>
            </c:numRef>
          </c:cat>
          <c:val>
            <c:numRef>
              <c:f>main!$C$6:$C$130</c:f>
              <c:numCache>
                <c:formatCode>General</c:formatCode>
                <c:ptCount val="125"/>
                <c:pt idx="0">
                  <c:v>14.6</c:v>
                </c:pt>
                <c:pt idx="1">
                  <c:v>14.9</c:v>
                </c:pt>
                <c:pt idx="2">
                  <c:v>14.2</c:v>
                </c:pt>
                <c:pt idx="3">
                  <c:v>14.2</c:v>
                </c:pt>
                <c:pt idx="4">
                  <c:v>12.5</c:v>
                </c:pt>
                <c:pt idx="5">
                  <c:v>13.3</c:v>
                </c:pt>
                <c:pt idx="6">
                  <c:v>13.4</c:v>
                </c:pt>
                <c:pt idx="7">
                  <c:v>10.5</c:v>
                </c:pt>
                <c:pt idx="8">
                  <c:v>8.9</c:v>
                </c:pt>
                <c:pt idx="9">
                  <c:v>10.3</c:v>
                </c:pt>
                <c:pt idx="10">
                  <c:v>9.5</c:v>
                </c:pt>
                <c:pt idx="11">
                  <c:v>8.5</c:v>
                </c:pt>
                <c:pt idx="12">
                  <c:v>8.6</c:v>
                </c:pt>
                <c:pt idx="13">
                  <c:v>7.9</c:v>
                </c:pt>
                <c:pt idx="14">
                  <c:v>5.4</c:v>
                </c:pt>
                <c:pt idx="15">
                  <c:v>7.1</c:v>
                </c:pt>
                <c:pt idx="16">
                  <c:v>7.7</c:v>
                </c:pt>
                <c:pt idx="17">
                  <c:v>6.1</c:v>
                </c:pt>
                <c:pt idx="18">
                  <c:v>7.5</c:v>
                </c:pt>
                <c:pt idx="19">
                  <c:v>6.8</c:v>
                </c:pt>
                <c:pt idx="20">
                  <c:v>5.4</c:v>
                </c:pt>
                <c:pt idx="21">
                  <c:v>6.9</c:v>
                </c:pt>
                <c:pt idx="22">
                  <c:v>5.8</c:v>
                </c:pt>
                <c:pt idx="23">
                  <c:v>7.5</c:v>
                </c:pt>
                <c:pt idx="24">
                  <c:v>5.9</c:v>
                </c:pt>
                <c:pt idx="25">
                  <c:v>5.2</c:v>
                </c:pt>
                <c:pt idx="26">
                  <c:v>6.4</c:v>
                </c:pt>
                <c:pt idx="27">
                  <c:v>5.4</c:v>
                </c:pt>
                <c:pt idx="28">
                  <c:v>4.4000000000000004</c:v>
                </c:pt>
                <c:pt idx="29">
                  <c:v>5.0999999999999996</c:v>
                </c:pt>
                <c:pt idx="30">
                  <c:v>4.7</c:v>
                </c:pt>
                <c:pt idx="31">
                  <c:v>4.3</c:v>
                </c:pt>
                <c:pt idx="32">
                  <c:v>5.6</c:v>
                </c:pt>
                <c:pt idx="33">
                  <c:v>4.8</c:v>
                </c:pt>
                <c:pt idx="34">
                  <c:v>4.4000000000000004</c:v>
                </c:pt>
                <c:pt idx="35">
                  <c:v>5.3</c:v>
                </c:pt>
                <c:pt idx="36">
                  <c:v>4.2</c:v>
                </c:pt>
                <c:pt idx="37">
                  <c:v>4.7</c:v>
                </c:pt>
                <c:pt idx="38">
                  <c:v>5.4</c:v>
                </c:pt>
                <c:pt idx="39">
                  <c:v>5.5</c:v>
                </c:pt>
                <c:pt idx="40">
                  <c:v>5.9</c:v>
                </c:pt>
                <c:pt idx="41">
                  <c:v>6.2</c:v>
                </c:pt>
                <c:pt idx="42">
                  <c:v>6.8</c:v>
                </c:pt>
                <c:pt idx="43">
                  <c:v>5.5</c:v>
                </c:pt>
                <c:pt idx="44">
                  <c:v>4.4000000000000004</c:v>
                </c:pt>
                <c:pt idx="45">
                  <c:v>4.7</c:v>
                </c:pt>
                <c:pt idx="46">
                  <c:v>5.0999999999999996</c:v>
                </c:pt>
                <c:pt idx="47">
                  <c:v>5.6</c:v>
                </c:pt>
                <c:pt idx="48" formatCode="0.0">
                  <c:v>4.2</c:v>
                </c:pt>
                <c:pt idx="49">
                  <c:v>5.2</c:v>
                </c:pt>
                <c:pt idx="50">
                  <c:v>6.6</c:v>
                </c:pt>
                <c:pt idx="51">
                  <c:v>5.7</c:v>
                </c:pt>
                <c:pt idx="52">
                  <c:v>5.9</c:v>
                </c:pt>
                <c:pt idx="53">
                  <c:v>4.7</c:v>
                </c:pt>
                <c:pt idx="54">
                  <c:v>6</c:v>
                </c:pt>
                <c:pt idx="55">
                  <c:v>5.6</c:v>
                </c:pt>
                <c:pt idx="56">
                  <c:v>5.7</c:v>
                </c:pt>
                <c:pt idx="57">
                  <c:v>4.9000000000000004</c:v>
                </c:pt>
                <c:pt idx="58">
                  <c:v>5.7</c:v>
                </c:pt>
                <c:pt idx="59">
                  <c:v>4.9000000000000004</c:v>
                </c:pt>
                <c:pt idx="60">
                  <c:v>4.5999999999999996</c:v>
                </c:pt>
                <c:pt idx="61">
                  <c:v>4.2</c:v>
                </c:pt>
                <c:pt idx="62">
                  <c:v>4.3</c:v>
                </c:pt>
                <c:pt idx="63">
                  <c:v>5.4</c:v>
                </c:pt>
                <c:pt idx="64">
                  <c:v>4.8</c:v>
                </c:pt>
                <c:pt idx="65">
                  <c:v>4.2</c:v>
                </c:pt>
                <c:pt idx="66">
                  <c:v>5</c:v>
                </c:pt>
                <c:pt idx="67">
                  <c:v>6.2</c:v>
                </c:pt>
                <c:pt idx="68">
                  <c:v>5.8</c:v>
                </c:pt>
                <c:pt idx="69">
                  <c:v>5.5</c:v>
                </c:pt>
                <c:pt idx="70">
                  <c:v>5.7</c:v>
                </c:pt>
                <c:pt idx="71">
                  <c:v>5.9</c:v>
                </c:pt>
                <c:pt idx="72">
                  <c:v>6.4</c:v>
                </c:pt>
                <c:pt idx="73">
                  <c:v>5.9</c:v>
                </c:pt>
                <c:pt idx="74">
                  <c:v>6.4</c:v>
                </c:pt>
                <c:pt idx="75">
                  <c:v>6.5</c:v>
                </c:pt>
                <c:pt idx="76">
                  <c:v>5.3</c:v>
                </c:pt>
                <c:pt idx="77">
                  <c:v>5.3</c:v>
                </c:pt>
                <c:pt idx="78">
                  <c:v>4.3</c:v>
                </c:pt>
                <c:pt idx="79">
                  <c:v>6.1</c:v>
                </c:pt>
                <c:pt idx="80">
                  <c:v>6.5</c:v>
                </c:pt>
                <c:pt idx="81">
                  <c:v>4.8</c:v>
                </c:pt>
                <c:pt idx="82">
                  <c:v>5.9</c:v>
                </c:pt>
                <c:pt idx="83">
                  <c:v>5.7</c:v>
                </c:pt>
                <c:pt idx="84">
                  <c:v>5.9</c:v>
                </c:pt>
                <c:pt idx="85">
                  <c:v>6.7</c:v>
                </c:pt>
                <c:pt idx="86">
                  <c:v>6.2</c:v>
                </c:pt>
                <c:pt idx="87">
                  <c:v>6.7</c:v>
                </c:pt>
                <c:pt idx="88">
                  <c:v>6.1</c:v>
                </c:pt>
                <c:pt idx="89">
                  <c:v>5.2</c:v>
                </c:pt>
                <c:pt idx="90">
                  <c:v>5.9</c:v>
                </c:pt>
                <c:pt idx="91">
                  <c:v>6.7</c:v>
                </c:pt>
                <c:pt idx="92">
                  <c:v>5.0999999999999996</c:v>
                </c:pt>
                <c:pt idx="93">
                  <c:v>5.0999999999999996</c:v>
                </c:pt>
                <c:pt idx="94">
                  <c:v>5.2</c:v>
                </c:pt>
                <c:pt idx="95">
                  <c:v>6.3</c:v>
                </c:pt>
                <c:pt idx="96">
                  <c:v>4.8</c:v>
                </c:pt>
                <c:pt idx="97">
                  <c:v>6.6</c:v>
                </c:pt>
                <c:pt idx="98">
                  <c:v>4.5999999999999996</c:v>
                </c:pt>
                <c:pt idx="99">
                  <c:v>4.9000000000000004</c:v>
                </c:pt>
                <c:pt idx="100">
                  <c:v>5.7</c:v>
                </c:pt>
                <c:pt idx="101">
                  <c:v>6.1</c:v>
                </c:pt>
                <c:pt idx="102">
                  <c:v>5.7</c:v>
                </c:pt>
                <c:pt idx="103">
                  <c:v>5.8</c:v>
                </c:pt>
                <c:pt idx="104">
                  <c:v>6.8</c:v>
                </c:pt>
                <c:pt idx="105">
                  <c:v>5.9</c:v>
                </c:pt>
                <c:pt idx="106">
                  <c:v>4.9000000000000004</c:v>
                </c:pt>
                <c:pt idx="107">
                  <c:v>5.7</c:v>
                </c:pt>
                <c:pt idx="108">
                  <c:v>6.4</c:v>
                </c:pt>
                <c:pt idx="109">
                  <c:v>4.2</c:v>
                </c:pt>
                <c:pt idx="110">
                  <c:v>5.2</c:v>
                </c:pt>
                <c:pt idx="111">
                  <c:v>4.5999999999999996</c:v>
                </c:pt>
                <c:pt idx="112">
                  <c:v>4.9000000000000004</c:v>
                </c:pt>
                <c:pt idx="113">
                  <c:v>5</c:v>
                </c:pt>
                <c:pt idx="114">
                  <c:v>3.9</c:v>
                </c:pt>
                <c:pt idx="115">
                  <c:v>5.7</c:v>
                </c:pt>
                <c:pt idx="116">
                  <c:v>3.5</c:v>
                </c:pt>
                <c:pt idx="117">
                  <c:v>4.2</c:v>
                </c:pt>
                <c:pt idx="118">
                  <c:v>5.5</c:v>
                </c:pt>
                <c:pt idx="119">
                  <c:v>5.0999999999999996</c:v>
                </c:pt>
                <c:pt idx="120">
                  <c:v>5.2</c:v>
                </c:pt>
                <c:pt idx="121">
                  <c:v>7.3</c:v>
                </c:pt>
                <c:pt idx="122">
                  <c:v>7</c:v>
                </c:pt>
                <c:pt idx="123">
                  <c:v>6.8</c:v>
                </c:pt>
                <c:pt idx="124">
                  <c:v>6.6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3B-4212-B114-181F0E09A233}"/>
            </c:ext>
          </c:extLst>
        </c:ser>
        <c:ser>
          <c:idx val="1"/>
          <c:order val="1"/>
          <c:tx>
            <c:strRef>
              <c:f>main!$E$5</c:f>
              <c:strCache>
                <c:ptCount val="1"/>
                <c:pt idx="0">
                  <c:v>Lunch (12:50)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main!$A$6:$A$130</c:f>
              <c:numCache>
                <c:formatCode>d\-mmm\-yy</c:formatCode>
                <c:ptCount val="125"/>
                <c:pt idx="0">
                  <c:v>45463</c:v>
                </c:pt>
                <c:pt idx="1">
                  <c:v>45464</c:v>
                </c:pt>
                <c:pt idx="2">
                  <c:v>45465</c:v>
                </c:pt>
                <c:pt idx="3">
                  <c:v>45466</c:v>
                </c:pt>
                <c:pt idx="4">
                  <c:v>45467</c:v>
                </c:pt>
                <c:pt idx="5">
                  <c:v>45468</c:v>
                </c:pt>
                <c:pt idx="6">
                  <c:v>45469</c:v>
                </c:pt>
                <c:pt idx="7">
                  <c:v>45470</c:v>
                </c:pt>
                <c:pt idx="8">
                  <c:v>45471</c:v>
                </c:pt>
                <c:pt idx="9">
                  <c:v>45472</c:v>
                </c:pt>
                <c:pt idx="10">
                  <c:v>45473</c:v>
                </c:pt>
                <c:pt idx="11">
                  <c:v>45474</c:v>
                </c:pt>
                <c:pt idx="12">
                  <c:v>45475</c:v>
                </c:pt>
                <c:pt idx="13">
                  <c:v>45476</c:v>
                </c:pt>
                <c:pt idx="14">
                  <c:v>45477</c:v>
                </c:pt>
                <c:pt idx="15">
                  <c:v>45478</c:v>
                </c:pt>
                <c:pt idx="16">
                  <c:v>45479</c:v>
                </c:pt>
                <c:pt idx="17">
                  <c:v>45480</c:v>
                </c:pt>
                <c:pt idx="18">
                  <c:v>45481</c:v>
                </c:pt>
                <c:pt idx="19">
                  <c:v>45482</c:v>
                </c:pt>
                <c:pt idx="20">
                  <c:v>45483</c:v>
                </c:pt>
                <c:pt idx="21">
                  <c:v>45484</c:v>
                </c:pt>
                <c:pt idx="22">
                  <c:v>45485</c:v>
                </c:pt>
                <c:pt idx="23">
                  <c:v>45486</c:v>
                </c:pt>
                <c:pt idx="24">
                  <c:v>45487</c:v>
                </c:pt>
                <c:pt idx="25">
                  <c:v>45488</c:v>
                </c:pt>
                <c:pt idx="26">
                  <c:v>45489</c:v>
                </c:pt>
                <c:pt idx="27">
                  <c:v>45490</c:v>
                </c:pt>
                <c:pt idx="28">
                  <c:v>45491</c:v>
                </c:pt>
                <c:pt idx="29">
                  <c:v>45492</c:v>
                </c:pt>
                <c:pt idx="30">
                  <c:v>45493</c:v>
                </c:pt>
                <c:pt idx="31">
                  <c:v>45494</c:v>
                </c:pt>
                <c:pt idx="32">
                  <c:v>45495</c:v>
                </c:pt>
                <c:pt idx="33">
                  <c:v>45496</c:v>
                </c:pt>
                <c:pt idx="34">
                  <c:v>45497</c:v>
                </c:pt>
                <c:pt idx="35">
                  <c:v>45498</c:v>
                </c:pt>
                <c:pt idx="36">
                  <c:v>45499</c:v>
                </c:pt>
                <c:pt idx="37">
                  <c:v>45500</c:v>
                </c:pt>
                <c:pt idx="38">
                  <c:v>45501</c:v>
                </c:pt>
                <c:pt idx="39">
                  <c:v>45502</c:v>
                </c:pt>
                <c:pt idx="40">
                  <c:v>45503</c:v>
                </c:pt>
                <c:pt idx="41">
                  <c:v>45504</c:v>
                </c:pt>
                <c:pt idx="42">
                  <c:v>45505</c:v>
                </c:pt>
                <c:pt idx="43">
                  <c:v>45506</c:v>
                </c:pt>
                <c:pt idx="44">
                  <c:v>45507</c:v>
                </c:pt>
                <c:pt idx="45">
                  <c:v>45508</c:v>
                </c:pt>
                <c:pt idx="46">
                  <c:v>45509</c:v>
                </c:pt>
                <c:pt idx="47">
                  <c:v>45510</c:v>
                </c:pt>
                <c:pt idx="48">
                  <c:v>45511</c:v>
                </c:pt>
                <c:pt idx="49">
                  <c:v>45512</c:v>
                </c:pt>
                <c:pt idx="50">
                  <c:v>45513</c:v>
                </c:pt>
                <c:pt idx="51">
                  <c:v>45514</c:v>
                </c:pt>
                <c:pt idx="52">
                  <c:v>45515</c:v>
                </c:pt>
                <c:pt idx="53">
                  <c:v>45516</c:v>
                </c:pt>
                <c:pt idx="54">
                  <c:v>45517</c:v>
                </c:pt>
                <c:pt idx="55">
                  <c:v>45518</c:v>
                </c:pt>
                <c:pt idx="56">
                  <c:v>45519</c:v>
                </c:pt>
                <c:pt idx="57">
                  <c:v>45520</c:v>
                </c:pt>
                <c:pt idx="58">
                  <c:v>45521</c:v>
                </c:pt>
                <c:pt idx="59">
                  <c:v>45522</c:v>
                </c:pt>
                <c:pt idx="60">
                  <c:v>45523</c:v>
                </c:pt>
                <c:pt idx="61">
                  <c:v>45524</c:v>
                </c:pt>
                <c:pt idx="62">
                  <c:v>45525</c:v>
                </c:pt>
                <c:pt idx="63">
                  <c:v>45526</c:v>
                </c:pt>
                <c:pt idx="64">
                  <c:v>45527</c:v>
                </c:pt>
                <c:pt idx="65">
                  <c:v>45528</c:v>
                </c:pt>
                <c:pt idx="66">
                  <c:v>45529</c:v>
                </c:pt>
                <c:pt idx="67">
                  <c:v>45530</c:v>
                </c:pt>
                <c:pt idx="68">
                  <c:v>45531</c:v>
                </c:pt>
                <c:pt idx="69">
                  <c:v>45532</c:v>
                </c:pt>
                <c:pt idx="70">
                  <c:v>45533</c:v>
                </c:pt>
                <c:pt idx="71">
                  <c:v>45534</c:v>
                </c:pt>
                <c:pt idx="72">
                  <c:v>45535</c:v>
                </c:pt>
                <c:pt idx="73">
                  <c:v>45536</c:v>
                </c:pt>
                <c:pt idx="74">
                  <c:v>45537</c:v>
                </c:pt>
                <c:pt idx="75">
                  <c:v>45538</c:v>
                </c:pt>
                <c:pt idx="76">
                  <c:v>45539</c:v>
                </c:pt>
                <c:pt idx="77">
                  <c:v>45540</c:v>
                </c:pt>
                <c:pt idx="78">
                  <c:v>45541</c:v>
                </c:pt>
                <c:pt idx="79">
                  <c:v>45542</c:v>
                </c:pt>
                <c:pt idx="80">
                  <c:v>45543</c:v>
                </c:pt>
                <c:pt idx="81">
                  <c:v>45544</c:v>
                </c:pt>
                <c:pt idx="82">
                  <c:v>45545</c:v>
                </c:pt>
                <c:pt idx="83">
                  <c:v>45546</c:v>
                </c:pt>
                <c:pt idx="84">
                  <c:v>45547</c:v>
                </c:pt>
                <c:pt idx="85">
                  <c:v>45548</c:v>
                </c:pt>
                <c:pt idx="86">
                  <c:v>45549</c:v>
                </c:pt>
                <c:pt idx="87">
                  <c:v>45550</c:v>
                </c:pt>
                <c:pt idx="88">
                  <c:v>45551</c:v>
                </c:pt>
                <c:pt idx="89">
                  <c:v>45552</c:v>
                </c:pt>
                <c:pt idx="90">
                  <c:v>45553</c:v>
                </c:pt>
                <c:pt idx="91">
                  <c:v>45554</c:v>
                </c:pt>
                <c:pt idx="92">
                  <c:v>45555</c:v>
                </c:pt>
                <c:pt idx="93">
                  <c:v>45556</c:v>
                </c:pt>
                <c:pt idx="94">
                  <c:v>45557</c:v>
                </c:pt>
                <c:pt idx="95">
                  <c:v>45558</c:v>
                </c:pt>
                <c:pt idx="96">
                  <c:v>45559</c:v>
                </c:pt>
                <c:pt idx="97">
                  <c:v>45560</c:v>
                </c:pt>
                <c:pt idx="98">
                  <c:v>45561</c:v>
                </c:pt>
                <c:pt idx="99">
                  <c:v>45562</c:v>
                </c:pt>
                <c:pt idx="100">
                  <c:v>45563</c:v>
                </c:pt>
                <c:pt idx="101">
                  <c:v>45564</c:v>
                </c:pt>
                <c:pt idx="102">
                  <c:v>45565</c:v>
                </c:pt>
                <c:pt idx="103">
                  <c:v>45566</c:v>
                </c:pt>
                <c:pt idx="104">
                  <c:v>45567</c:v>
                </c:pt>
                <c:pt idx="105">
                  <c:v>45568</c:v>
                </c:pt>
                <c:pt idx="106">
                  <c:v>45569</c:v>
                </c:pt>
                <c:pt idx="107">
                  <c:v>45570</c:v>
                </c:pt>
                <c:pt idx="108">
                  <c:v>45571</c:v>
                </c:pt>
                <c:pt idx="109">
                  <c:v>45572</c:v>
                </c:pt>
                <c:pt idx="110">
                  <c:v>45573</c:v>
                </c:pt>
                <c:pt idx="111">
                  <c:v>45574</c:v>
                </c:pt>
                <c:pt idx="112">
                  <c:v>45575</c:v>
                </c:pt>
                <c:pt idx="113">
                  <c:v>45576</c:v>
                </c:pt>
                <c:pt idx="114">
                  <c:v>45577</c:v>
                </c:pt>
                <c:pt idx="115">
                  <c:v>45578</c:v>
                </c:pt>
                <c:pt idx="116">
                  <c:v>45579</c:v>
                </c:pt>
                <c:pt idx="117">
                  <c:v>45580</c:v>
                </c:pt>
                <c:pt idx="118">
                  <c:v>45581</c:v>
                </c:pt>
                <c:pt idx="119">
                  <c:v>45582</c:v>
                </c:pt>
                <c:pt idx="120">
                  <c:v>45583</c:v>
                </c:pt>
                <c:pt idx="121">
                  <c:v>45584</c:v>
                </c:pt>
                <c:pt idx="122">
                  <c:v>45585</c:v>
                </c:pt>
                <c:pt idx="123">
                  <c:v>45586</c:v>
                </c:pt>
                <c:pt idx="124">
                  <c:v>45587</c:v>
                </c:pt>
              </c:numCache>
            </c:numRef>
          </c:cat>
          <c:val>
            <c:numRef>
              <c:f>main!$E$6:$E$130</c:f>
              <c:numCache>
                <c:formatCode>General</c:formatCode>
                <c:ptCount val="125"/>
                <c:pt idx="0">
                  <c:v>18.5</c:v>
                </c:pt>
                <c:pt idx="1">
                  <c:v>18.5</c:v>
                </c:pt>
                <c:pt idx="2">
                  <c:v>19.5</c:v>
                </c:pt>
                <c:pt idx="3">
                  <c:v>17.899999999999999</c:v>
                </c:pt>
                <c:pt idx="4">
                  <c:v>18.100000000000001</c:v>
                </c:pt>
                <c:pt idx="5">
                  <c:v>16.7</c:v>
                </c:pt>
                <c:pt idx="6">
                  <c:v>17.3</c:v>
                </c:pt>
                <c:pt idx="7">
                  <c:v>17.2</c:v>
                </c:pt>
                <c:pt idx="8">
                  <c:v>15.3</c:v>
                </c:pt>
                <c:pt idx="9">
                  <c:v>15.8</c:v>
                </c:pt>
                <c:pt idx="10">
                  <c:v>14.3</c:v>
                </c:pt>
                <c:pt idx="11">
                  <c:v>13.4</c:v>
                </c:pt>
                <c:pt idx="12">
                  <c:v>9.5</c:v>
                </c:pt>
                <c:pt idx="13">
                  <c:v>10.6</c:v>
                </c:pt>
                <c:pt idx="14">
                  <c:v>8.5</c:v>
                </c:pt>
                <c:pt idx="15">
                  <c:v>10</c:v>
                </c:pt>
                <c:pt idx="16">
                  <c:v>8.1999999999999993</c:v>
                </c:pt>
                <c:pt idx="17">
                  <c:v>7</c:v>
                </c:pt>
                <c:pt idx="18">
                  <c:v>9.8000000000000007</c:v>
                </c:pt>
                <c:pt idx="19">
                  <c:v>8.4</c:v>
                </c:pt>
                <c:pt idx="20">
                  <c:v>5.3</c:v>
                </c:pt>
                <c:pt idx="21">
                  <c:v>4.5</c:v>
                </c:pt>
                <c:pt idx="22">
                  <c:v>8.1999999999999993</c:v>
                </c:pt>
                <c:pt idx="23">
                  <c:v>4.4000000000000004</c:v>
                </c:pt>
                <c:pt idx="24">
                  <c:v>6.5</c:v>
                </c:pt>
                <c:pt idx="25">
                  <c:v>7.4</c:v>
                </c:pt>
                <c:pt idx="26">
                  <c:v>5.5</c:v>
                </c:pt>
                <c:pt idx="27">
                  <c:v>7</c:v>
                </c:pt>
                <c:pt idx="28">
                  <c:v>6.1</c:v>
                </c:pt>
                <c:pt idx="29">
                  <c:v>5.3</c:v>
                </c:pt>
                <c:pt idx="30">
                  <c:v>3.9</c:v>
                </c:pt>
                <c:pt idx="31">
                  <c:v>3.8</c:v>
                </c:pt>
                <c:pt idx="32">
                  <c:v>5.8</c:v>
                </c:pt>
                <c:pt idx="33">
                  <c:v>7.2</c:v>
                </c:pt>
                <c:pt idx="34">
                  <c:v>7.2</c:v>
                </c:pt>
                <c:pt idx="35">
                  <c:v>6.9</c:v>
                </c:pt>
                <c:pt idx="36">
                  <c:v>4.2</c:v>
                </c:pt>
                <c:pt idx="37">
                  <c:v>4.7</c:v>
                </c:pt>
                <c:pt idx="38">
                  <c:v>5.9</c:v>
                </c:pt>
                <c:pt idx="39">
                  <c:v>6.1</c:v>
                </c:pt>
                <c:pt idx="40">
                  <c:v>7.8</c:v>
                </c:pt>
                <c:pt idx="41">
                  <c:v>6.1</c:v>
                </c:pt>
                <c:pt idx="42">
                  <c:v>7</c:v>
                </c:pt>
                <c:pt idx="43">
                  <c:v>6.2</c:v>
                </c:pt>
                <c:pt idx="44">
                  <c:v>6.2</c:v>
                </c:pt>
                <c:pt idx="45">
                  <c:v>5.9</c:v>
                </c:pt>
                <c:pt idx="46">
                  <c:v>8.4</c:v>
                </c:pt>
                <c:pt idx="47">
                  <c:v>6.2</c:v>
                </c:pt>
                <c:pt idx="48" formatCode="0.0">
                  <c:v>6.3</c:v>
                </c:pt>
                <c:pt idx="49">
                  <c:v>7.5</c:v>
                </c:pt>
                <c:pt idx="50">
                  <c:v>6.1</c:v>
                </c:pt>
                <c:pt idx="51">
                  <c:v>7.4</c:v>
                </c:pt>
                <c:pt idx="52">
                  <c:v>4.8</c:v>
                </c:pt>
                <c:pt idx="53">
                  <c:v>4.5999999999999996</c:v>
                </c:pt>
                <c:pt idx="54">
                  <c:v>5.4</c:v>
                </c:pt>
                <c:pt idx="55">
                  <c:v>5.9</c:v>
                </c:pt>
                <c:pt idx="56">
                  <c:v>7.8</c:v>
                </c:pt>
                <c:pt idx="57">
                  <c:v>5.8</c:v>
                </c:pt>
                <c:pt idx="58">
                  <c:v>4.8</c:v>
                </c:pt>
                <c:pt idx="59">
                  <c:v>6.3</c:v>
                </c:pt>
                <c:pt idx="60">
                  <c:v>5.3</c:v>
                </c:pt>
                <c:pt idx="61">
                  <c:v>7.1</c:v>
                </c:pt>
                <c:pt idx="62">
                  <c:v>4.9000000000000004</c:v>
                </c:pt>
                <c:pt idx="63">
                  <c:v>6.7</c:v>
                </c:pt>
                <c:pt idx="64">
                  <c:v>5.8</c:v>
                </c:pt>
                <c:pt idx="65">
                  <c:v>7</c:v>
                </c:pt>
                <c:pt idx="66">
                  <c:v>5.0999999999999996</c:v>
                </c:pt>
                <c:pt idx="67">
                  <c:v>7</c:v>
                </c:pt>
                <c:pt idx="68">
                  <c:v>6.3</c:v>
                </c:pt>
                <c:pt idx="69">
                  <c:v>4.5999999999999996</c:v>
                </c:pt>
                <c:pt idx="70">
                  <c:v>7</c:v>
                </c:pt>
                <c:pt idx="71">
                  <c:v>5.8</c:v>
                </c:pt>
                <c:pt idx="72">
                  <c:v>9.9</c:v>
                </c:pt>
                <c:pt idx="73">
                  <c:v>9.3000000000000007</c:v>
                </c:pt>
                <c:pt idx="74">
                  <c:v>6</c:v>
                </c:pt>
                <c:pt idx="75">
                  <c:v>8.9</c:v>
                </c:pt>
                <c:pt idx="76">
                  <c:v>4.8</c:v>
                </c:pt>
                <c:pt idx="77">
                  <c:v>6</c:v>
                </c:pt>
                <c:pt idx="78">
                  <c:v>5.0999999999999996</c:v>
                </c:pt>
                <c:pt idx="79">
                  <c:v>6.3</c:v>
                </c:pt>
                <c:pt idx="80">
                  <c:v>7.3</c:v>
                </c:pt>
                <c:pt idx="81">
                  <c:v>5.2</c:v>
                </c:pt>
                <c:pt idx="82">
                  <c:v>5.5</c:v>
                </c:pt>
                <c:pt idx="83">
                  <c:v>8.9</c:v>
                </c:pt>
                <c:pt idx="84">
                  <c:v>7</c:v>
                </c:pt>
                <c:pt idx="85">
                  <c:v>5.4</c:v>
                </c:pt>
                <c:pt idx="86">
                  <c:v>6.8</c:v>
                </c:pt>
                <c:pt idx="87">
                  <c:v>5.0999999999999996</c:v>
                </c:pt>
                <c:pt idx="88">
                  <c:v>5.6</c:v>
                </c:pt>
                <c:pt idx="89">
                  <c:v>4.8</c:v>
                </c:pt>
                <c:pt idx="90">
                  <c:v>6.8</c:v>
                </c:pt>
                <c:pt idx="91">
                  <c:v>8.9</c:v>
                </c:pt>
                <c:pt idx="92">
                  <c:v>6.3</c:v>
                </c:pt>
                <c:pt idx="93">
                  <c:v>7.3</c:v>
                </c:pt>
                <c:pt idx="94">
                  <c:v>5.0999999999999996</c:v>
                </c:pt>
                <c:pt idx="95">
                  <c:v>8</c:v>
                </c:pt>
                <c:pt idx="96">
                  <c:v>8.4</c:v>
                </c:pt>
                <c:pt idx="97">
                  <c:v>8.3000000000000007</c:v>
                </c:pt>
                <c:pt idx="98">
                  <c:v>7.8</c:v>
                </c:pt>
                <c:pt idx="99">
                  <c:v>6.1</c:v>
                </c:pt>
                <c:pt idx="100">
                  <c:v>6</c:v>
                </c:pt>
                <c:pt idx="101">
                  <c:v>8</c:v>
                </c:pt>
                <c:pt idx="102">
                  <c:v>7.4</c:v>
                </c:pt>
                <c:pt idx="103">
                  <c:v>6.6</c:v>
                </c:pt>
                <c:pt idx="104">
                  <c:v>8.1999999999999993</c:v>
                </c:pt>
                <c:pt idx="105">
                  <c:v>7.7</c:v>
                </c:pt>
                <c:pt idx="106">
                  <c:v>6</c:v>
                </c:pt>
                <c:pt idx="107">
                  <c:v>11.1</c:v>
                </c:pt>
                <c:pt idx="108">
                  <c:v>6</c:v>
                </c:pt>
                <c:pt idx="109">
                  <c:v>5.5</c:v>
                </c:pt>
                <c:pt idx="110">
                  <c:v>6.1</c:v>
                </c:pt>
                <c:pt idx="111">
                  <c:v>6</c:v>
                </c:pt>
                <c:pt idx="112">
                  <c:v>5.0999999999999996</c:v>
                </c:pt>
                <c:pt idx="113">
                  <c:v>9.4</c:v>
                </c:pt>
                <c:pt idx="114">
                  <c:v>4.2</c:v>
                </c:pt>
                <c:pt idx="115">
                  <c:v>5.6</c:v>
                </c:pt>
                <c:pt idx="116">
                  <c:v>5.4</c:v>
                </c:pt>
                <c:pt idx="117">
                  <c:v>4.5999999999999996</c:v>
                </c:pt>
                <c:pt idx="118">
                  <c:v>5.0999999999999996</c:v>
                </c:pt>
                <c:pt idx="119">
                  <c:v>8</c:v>
                </c:pt>
                <c:pt idx="120">
                  <c:v>5</c:v>
                </c:pt>
                <c:pt idx="121">
                  <c:v>7</c:v>
                </c:pt>
                <c:pt idx="122">
                  <c:v>6.5</c:v>
                </c:pt>
                <c:pt idx="123">
                  <c:v>6.8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3B-4212-B114-181F0E09A233}"/>
            </c:ext>
          </c:extLst>
        </c:ser>
        <c:ser>
          <c:idx val="2"/>
          <c:order val="2"/>
          <c:tx>
            <c:strRef>
              <c:f>main!$G$5</c:f>
              <c:strCache>
                <c:ptCount val="1"/>
                <c:pt idx="0">
                  <c:v>Dinner (18:30)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main!$A$6:$A$130</c:f>
              <c:numCache>
                <c:formatCode>d\-mmm\-yy</c:formatCode>
                <c:ptCount val="125"/>
                <c:pt idx="0">
                  <c:v>45463</c:v>
                </c:pt>
                <c:pt idx="1">
                  <c:v>45464</c:v>
                </c:pt>
                <c:pt idx="2">
                  <c:v>45465</c:v>
                </c:pt>
                <c:pt idx="3">
                  <c:v>45466</c:v>
                </c:pt>
                <c:pt idx="4">
                  <c:v>45467</c:v>
                </c:pt>
                <c:pt idx="5">
                  <c:v>45468</c:v>
                </c:pt>
                <c:pt idx="6">
                  <c:v>45469</c:v>
                </c:pt>
                <c:pt idx="7">
                  <c:v>45470</c:v>
                </c:pt>
                <c:pt idx="8">
                  <c:v>45471</c:v>
                </c:pt>
                <c:pt idx="9">
                  <c:v>45472</c:v>
                </c:pt>
                <c:pt idx="10">
                  <c:v>45473</c:v>
                </c:pt>
                <c:pt idx="11">
                  <c:v>45474</c:v>
                </c:pt>
                <c:pt idx="12">
                  <c:v>45475</c:v>
                </c:pt>
                <c:pt idx="13">
                  <c:v>45476</c:v>
                </c:pt>
                <c:pt idx="14">
                  <c:v>45477</c:v>
                </c:pt>
                <c:pt idx="15">
                  <c:v>45478</c:v>
                </c:pt>
                <c:pt idx="16">
                  <c:v>45479</c:v>
                </c:pt>
                <c:pt idx="17">
                  <c:v>45480</c:v>
                </c:pt>
                <c:pt idx="18">
                  <c:v>45481</c:v>
                </c:pt>
                <c:pt idx="19">
                  <c:v>45482</c:v>
                </c:pt>
                <c:pt idx="20">
                  <c:v>45483</c:v>
                </c:pt>
                <c:pt idx="21">
                  <c:v>45484</c:v>
                </c:pt>
                <c:pt idx="22">
                  <c:v>45485</c:v>
                </c:pt>
                <c:pt idx="23">
                  <c:v>45486</c:v>
                </c:pt>
                <c:pt idx="24">
                  <c:v>45487</c:v>
                </c:pt>
                <c:pt idx="25">
                  <c:v>45488</c:v>
                </c:pt>
                <c:pt idx="26">
                  <c:v>45489</c:v>
                </c:pt>
                <c:pt idx="27">
                  <c:v>45490</c:v>
                </c:pt>
                <c:pt idx="28">
                  <c:v>45491</c:v>
                </c:pt>
                <c:pt idx="29">
                  <c:v>45492</c:v>
                </c:pt>
                <c:pt idx="30">
                  <c:v>45493</c:v>
                </c:pt>
                <c:pt idx="31">
                  <c:v>45494</c:v>
                </c:pt>
                <c:pt idx="32">
                  <c:v>45495</c:v>
                </c:pt>
                <c:pt idx="33">
                  <c:v>45496</c:v>
                </c:pt>
                <c:pt idx="34">
                  <c:v>45497</c:v>
                </c:pt>
                <c:pt idx="35">
                  <c:v>45498</c:v>
                </c:pt>
                <c:pt idx="36">
                  <c:v>45499</c:v>
                </c:pt>
                <c:pt idx="37">
                  <c:v>45500</c:v>
                </c:pt>
                <c:pt idx="38">
                  <c:v>45501</c:v>
                </c:pt>
                <c:pt idx="39">
                  <c:v>45502</c:v>
                </c:pt>
                <c:pt idx="40">
                  <c:v>45503</c:v>
                </c:pt>
                <c:pt idx="41">
                  <c:v>45504</c:v>
                </c:pt>
                <c:pt idx="42">
                  <c:v>45505</c:v>
                </c:pt>
                <c:pt idx="43">
                  <c:v>45506</c:v>
                </c:pt>
                <c:pt idx="44">
                  <c:v>45507</c:v>
                </c:pt>
                <c:pt idx="45">
                  <c:v>45508</c:v>
                </c:pt>
                <c:pt idx="46">
                  <c:v>45509</c:v>
                </c:pt>
                <c:pt idx="47">
                  <c:v>45510</c:v>
                </c:pt>
                <c:pt idx="48">
                  <c:v>45511</c:v>
                </c:pt>
                <c:pt idx="49">
                  <c:v>45512</c:v>
                </c:pt>
                <c:pt idx="50">
                  <c:v>45513</c:v>
                </c:pt>
                <c:pt idx="51">
                  <c:v>45514</c:v>
                </c:pt>
                <c:pt idx="52">
                  <c:v>45515</c:v>
                </c:pt>
                <c:pt idx="53">
                  <c:v>45516</c:v>
                </c:pt>
                <c:pt idx="54">
                  <c:v>45517</c:v>
                </c:pt>
                <c:pt idx="55">
                  <c:v>45518</c:v>
                </c:pt>
                <c:pt idx="56">
                  <c:v>45519</c:v>
                </c:pt>
                <c:pt idx="57">
                  <c:v>45520</c:v>
                </c:pt>
                <c:pt idx="58">
                  <c:v>45521</c:v>
                </c:pt>
                <c:pt idx="59">
                  <c:v>45522</c:v>
                </c:pt>
                <c:pt idx="60">
                  <c:v>45523</c:v>
                </c:pt>
                <c:pt idx="61">
                  <c:v>45524</c:v>
                </c:pt>
                <c:pt idx="62">
                  <c:v>45525</c:v>
                </c:pt>
                <c:pt idx="63">
                  <c:v>45526</c:v>
                </c:pt>
                <c:pt idx="64">
                  <c:v>45527</c:v>
                </c:pt>
                <c:pt idx="65">
                  <c:v>45528</c:v>
                </c:pt>
                <c:pt idx="66">
                  <c:v>45529</c:v>
                </c:pt>
                <c:pt idx="67">
                  <c:v>45530</c:v>
                </c:pt>
                <c:pt idx="68">
                  <c:v>45531</c:v>
                </c:pt>
                <c:pt idx="69">
                  <c:v>45532</c:v>
                </c:pt>
                <c:pt idx="70">
                  <c:v>45533</c:v>
                </c:pt>
                <c:pt idx="71">
                  <c:v>45534</c:v>
                </c:pt>
                <c:pt idx="72">
                  <c:v>45535</c:v>
                </c:pt>
                <c:pt idx="73">
                  <c:v>45536</c:v>
                </c:pt>
                <c:pt idx="74">
                  <c:v>45537</c:v>
                </c:pt>
                <c:pt idx="75">
                  <c:v>45538</c:v>
                </c:pt>
                <c:pt idx="76">
                  <c:v>45539</c:v>
                </c:pt>
                <c:pt idx="77">
                  <c:v>45540</c:v>
                </c:pt>
                <c:pt idx="78">
                  <c:v>45541</c:v>
                </c:pt>
                <c:pt idx="79">
                  <c:v>45542</c:v>
                </c:pt>
                <c:pt idx="80">
                  <c:v>45543</c:v>
                </c:pt>
                <c:pt idx="81">
                  <c:v>45544</c:v>
                </c:pt>
                <c:pt idx="82">
                  <c:v>45545</c:v>
                </c:pt>
                <c:pt idx="83">
                  <c:v>45546</c:v>
                </c:pt>
                <c:pt idx="84">
                  <c:v>45547</c:v>
                </c:pt>
                <c:pt idx="85">
                  <c:v>45548</c:v>
                </c:pt>
                <c:pt idx="86">
                  <c:v>45549</c:v>
                </c:pt>
                <c:pt idx="87">
                  <c:v>45550</c:v>
                </c:pt>
                <c:pt idx="88">
                  <c:v>45551</c:v>
                </c:pt>
                <c:pt idx="89">
                  <c:v>45552</c:v>
                </c:pt>
                <c:pt idx="90">
                  <c:v>45553</c:v>
                </c:pt>
                <c:pt idx="91">
                  <c:v>45554</c:v>
                </c:pt>
                <c:pt idx="92">
                  <c:v>45555</c:v>
                </c:pt>
                <c:pt idx="93">
                  <c:v>45556</c:v>
                </c:pt>
                <c:pt idx="94">
                  <c:v>45557</c:v>
                </c:pt>
                <c:pt idx="95">
                  <c:v>45558</c:v>
                </c:pt>
                <c:pt idx="96">
                  <c:v>45559</c:v>
                </c:pt>
                <c:pt idx="97">
                  <c:v>45560</c:v>
                </c:pt>
                <c:pt idx="98">
                  <c:v>45561</c:v>
                </c:pt>
                <c:pt idx="99">
                  <c:v>45562</c:v>
                </c:pt>
                <c:pt idx="100">
                  <c:v>45563</c:v>
                </c:pt>
                <c:pt idx="101">
                  <c:v>45564</c:v>
                </c:pt>
                <c:pt idx="102">
                  <c:v>45565</c:v>
                </c:pt>
                <c:pt idx="103">
                  <c:v>45566</c:v>
                </c:pt>
                <c:pt idx="104">
                  <c:v>45567</c:v>
                </c:pt>
                <c:pt idx="105">
                  <c:v>45568</c:v>
                </c:pt>
                <c:pt idx="106">
                  <c:v>45569</c:v>
                </c:pt>
                <c:pt idx="107">
                  <c:v>45570</c:v>
                </c:pt>
                <c:pt idx="108">
                  <c:v>45571</c:v>
                </c:pt>
                <c:pt idx="109">
                  <c:v>45572</c:v>
                </c:pt>
                <c:pt idx="110">
                  <c:v>45573</c:v>
                </c:pt>
                <c:pt idx="111">
                  <c:v>45574</c:v>
                </c:pt>
                <c:pt idx="112">
                  <c:v>45575</c:v>
                </c:pt>
                <c:pt idx="113">
                  <c:v>45576</c:v>
                </c:pt>
                <c:pt idx="114">
                  <c:v>45577</c:v>
                </c:pt>
                <c:pt idx="115">
                  <c:v>45578</c:v>
                </c:pt>
                <c:pt idx="116">
                  <c:v>45579</c:v>
                </c:pt>
                <c:pt idx="117">
                  <c:v>45580</c:v>
                </c:pt>
                <c:pt idx="118">
                  <c:v>45581</c:v>
                </c:pt>
                <c:pt idx="119">
                  <c:v>45582</c:v>
                </c:pt>
                <c:pt idx="120">
                  <c:v>45583</c:v>
                </c:pt>
                <c:pt idx="121">
                  <c:v>45584</c:v>
                </c:pt>
                <c:pt idx="122">
                  <c:v>45585</c:v>
                </c:pt>
                <c:pt idx="123">
                  <c:v>45586</c:v>
                </c:pt>
                <c:pt idx="124">
                  <c:v>45587</c:v>
                </c:pt>
              </c:numCache>
            </c:numRef>
          </c:cat>
          <c:val>
            <c:numRef>
              <c:f>main!$G$6:$G$130</c:f>
              <c:numCache>
                <c:formatCode>General</c:formatCode>
                <c:ptCount val="125"/>
                <c:pt idx="0">
                  <c:v>16.5</c:v>
                </c:pt>
                <c:pt idx="1">
                  <c:v>16.2</c:v>
                </c:pt>
                <c:pt idx="2">
                  <c:v>16.7</c:v>
                </c:pt>
                <c:pt idx="3">
                  <c:v>16.8</c:v>
                </c:pt>
                <c:pt idx="4">
                  <c:v>19</c:v>
                </c:pt>
                <c:pt idx="5">
                  <c:v>14.9</c:v>
                </c:pt>
                <c:pt idx="6">
                  <c:v>18.3</c:v>
                </c:pt>
                <c:pt idx="7">
                  <c:v>15</c:v>
                </c:pt>
                <c:pt idx="8">
                  <c:v>13.3</c:v>
                </c:pt>
                <c:pt idx="9">
                  <c:v>15.4</c:v>
                </c:pt>
                <c:pt idx="10">
                  <c:v>14.5</c:v>
                </c:pt>
                <c:pt idx="11">
                  <c:v>12.9</c:v>
                </c:pt>
                <c:pt idx="12">
                  <c:v>15.4</c:v>
                </c:pt>
                <c:pt idx="13">
                  <c:v>10.8</c:v>
                </c:pt>
                <c:pt idx="14">
                  <c:v>12.2</c:v>
                </c:pt>
                <c:pt idx="15">
                  <c:v>9</c:v>
                </c:pt>
                <c:pt idx="16">
                  <c:v>9</c:v>
                </c:pt>
                <c:pt idx="17">
                  <c:v>7.9</c:v>
                </c:pt>
                <c:pt idx="18">
                  <c:v>8.4</c:v>
                </c:pt>
                <c:pt idx="19">
                  <c:v>9</c:v>
                </c:pt>
                <c:pt idx="20">
                  <c:v>4.9000000000000004</c:v>
                </c:pt>
                <c:pt idx="21">
                  <c:v>8.3000000000000007</c:v>
                </c:pt>
                <c:pt idx="22">
                  <c:v>5.4</c:v>
                </c:pt>
                <c:pt idx="23">
                  <c:v>7.4</c:v>
                </c:pt>
                <c:pt idx="24">
                  <c:v>7.5</c:v>
                </c:pt>
                <c:pt idx="25">
                  <c:v>5.3</c:v>
                </c:pt>
                <c:pt idx="26">
                  <c:v>4.9000000000000004</c:v>
                </c:pt>
                <c:pt idx="27">
                  <c:v>4.0999999999999996</c:v>
                </c:pt>
                <c:pt idx="28">
                  <c:v>7.2</c:v>
                </c:pt>
                <c:pt idx="29">
                  <c:v>4.9000000000000004</c:v>
                </c:pt>
                <c:pt idx="30">
                  <c:v>4.8</c:v>
                </c:pt>
                <c:pt idx="31">
                  <c:v>4.5</c:v>
                </c:pt>
                <c:pt idx="32">
                  <c:v>4.3</c:v>
                </c:pt>
                <c:pt idx="33">
                  <c:v>6.9</c:v>
                </c:pt>
                <c:pt idx="34">
                  <c:v>3.8</c:v>
                </c:pt>
                <c:pt idx="35">
                  <c:v>4.2</c:v>
                </c:pt>
                <c:pt idx="36">
                  <c:v>5.3</c:v>
                </c:pt>
                <c:pt idx="37">
                  <c:v>6.4</c:v>
                </c:pt>
                <c:pt idx="38">
                  <c:v>5.7</c:v>
                </c:pt>
                <c:pt idx="39">
                  <c:v>6.3</c:v>
                </c:pt>
                <c:pt idx="40">
                  <c:v>4.9000000000000004</c:v>
                </c:pt>
                <c:pt idx="41">
                  <c:v>4.8</c:v>
                </c:pt>
                <c:pt idx="42">
                  <c:v>4.9000000000000004</c:v>
                </c:pt>
                <c:pt idx="43">
                  <c:v>5</c:v>
                </c:pt>
                <c:pt idx="44">
                  <c:v>7</c:v>
                </c:pt>
                <c:pt idx="45">
                  <c:v>4.5999999999999996</c:v>
                </c:pt>
                <c:pt idx="46">
                  <c:v>5.9</c:v>
                </c:pt>
                <c:pt idx="47">
                  <c:v>4.3</c:v>
                </c:pt>
                <c:pt idx="48">
                  <c:v>3.8</c:v>
                </c:pt>
                <c:pt idx="49">
                  <c:v>5.8</c:v>
                </c:pt>
                <c:pt idx="50">
                  <c:v>8.5</c:v>
                </c:pt>
                <c:pt idx="51">
                  <c:v>6.3</c:v>
                </c:pt>
                <c:pt idx="52">
                  <c:v>5.7</c:v>
                </c:pt>
                <c:pt idx="53">
                  <c:v>6</c:v>
                </c:pt>
                <c:pt idx="54">
                  <c:v>8.6999999999999993</c:v>
                </c:pt>
                <c:pt idx="55">
                  <c:v>5.3</c:v>
                </c:pt>
                <c:pt idx="56">
                  <c:v>7.9</c:v>
                </c:pt>
                <c:pt idx="57">
                  <c:v>7.5</c:v>
                </c:pt>
                <c:pt idx="58">
                  <c:v>8.4</c:v>
                </c:pt>
                <c:pt idx="59">
                  <c:v>9.9</c:v>
                </c:pt>
                <c:pt idx="60">
                  <c:v>5.3</c:v>
                </c:pt>
                <c:pt idx="61">
                  <c:v>6.2</c:v>
                </c:pt>
                <c:pt idx="62">
                  <c:v>7.3</c:v>
                </c:pt>
                <c:pt idx="63">
                  <c:v>4.3</c:v>
                </c:pt>
                <c:pt idx="64">
                  <c:v>6.1</c:v>
                </c:pt>
                <c:pt idx="65">
                  <c:v>6.4</c:v>
                </c:pt>
                <c:pt idx="66">
                  <c:v>8.1999999999999993</c:v>
                </c:pt>
                <c:pt idx="67">
                  <c:v>5.9</c:v>
                </c:pt>
                <c:pt idx="68">
                  <c:v>7.2</c:v>
                </c:pt>
                <c:pt idx="69">
                  <c:v>11.3</c:v>
                </c:pt>
                <c:pt idx="70">
                  <c:v>10.6</c:v>
                </c:pt>
                <c:pt idx="71">
                  <c:v>11.3</c:v>
                </c:pt>
                <c:pt idx="72">
                  <c:v>5</c:v>
                </c:pt>
                <c:pt idx="73">
                  <c:v>4.9000000000000004</c:v>
                </c:pt>
                <c:pt idx="74">
                  <c:v>5.8</c:v>
                </c:pt>
                <c:pt idx="75">
                  <c:v>5.4</c:v>
                </c:pt>
                <c:pt idx="76">
                  <c:v>6.7</c:v>
                </c:pt>
                <c:pt idx="77">
                  <c:v>3.8</c:v>
                </c:pt>
                <c:pt idx="78">
                  <c:v>6.2</c:v>
                </c:pt>
                <c:pt idx="79">
                  <c:v>5.8</c:v>
                </c:pt>
                <c:pt idx="80">
                  <c:v>4.5</c:v>
                </c:pt>
                <c:pt idx="81">
                  <c:v>5.4</c:v>
                </c:pt>
                <c:pt idx="82">
                  <c:v>5.6</c:v>
                </c:pt>
                <c:pt idx="83">
                  <c:v>6.4</c:v>
                </c:pt>
                <c:pt idx="84">
                  <c:v>7.1</c:v>
                </c:pt>
                <c:pt idx="85">
                  <c:v>5.2</c:v>
                </c:pt>
                <c:pt idx="86">
                  <c:v>4.9000000000000004</c:v>
                </c:pt>
                <c:pt idx="87">
                  <c:v>6.1</c:v>
                </c:pt>
                <c:pt idx="88">
                  <c:v>4.4000000000000004</c:v>
                </c:pt>
                <c:pt idx="89">
                  <c:v>5</c:v>
                </c:pt>
                <c:pt idx="90">
                  <c:v>6.6</c:v>
                </c:pt>
                <c:pt idx="91">
                  <c:v>6.1</c:v>
                </c:pt>
                <c:pt idx="92">
                  <c:v>5.9</c:v>
                </c:pt>
                <c:pt idx="93">
                  <c:v>4.9000000000000004</c:v>
                </c:pt>
                <c:pt idx="94">
                  <c:v>6.9</c:v>
                </c:pt>
                <c:pt idx="95">
                  <c:v>5.2</c:v>
                </c:pt>
                <c:pt idx="96">
                  <c:v>6.1</c:v>
                </c:pt>
                <c:pt idx="97">
                  <c:v>7.1</c:v>
                </c:pt>
                <c:pt idx="98">
                  <c:v>5.2</c:v>
                </c:pt>
                <c:pt idx="99">
                  <c:v>7.9</c:v>
                </c:pt>
                <c:pt idx="100">
                  <c:v>6</c:v>
                </c:pt>
                <c:pt idx="101">
                  <c:v>8.3000000000000007</c:v>
                </c:pt>
                <c:pt idx="102">
                  <c:v>6.1</c:v>
                </c:pt>
                <c:pt idx="103">
                  <c:v>5.3</c:v>
                </c:pt>
                <c:pt idx="104">
                  <c:v>7</c:v>
                </c:pt>
                <c:pt idx="105">
                  <c:v>7.4</c:v>
                </c:pt>
                <c:pt idx="106">
                  <c:v>9</c:v>
                </c:pt>
                <c:pt idx="107">
                  <c:v>7.1</c:v>
                </c:pt>
                <c:pt idx="108">
                  <c:v>6.2</c:v>
                </c:pt>
                <c:pt idx="109">
                  <c:v>5.2</c:v>
                </c:pt>
                <c:pt idx="110">
                  <c:v>5.9</c:v>
                </c:pt>
                <c:pt idx="111">
                  <c:v>4.5999999999999996</c:v>
                </c:pt>
                <c:pt idx="112">
                  <c:v>4.5999999999999996</c:v>
                </c:pt>
                <c:pt idx="113">
                  <c:v>8.4</c:v>
                </c:pt>
                <c:pt idx="114">
                  <c:v>7.7</c:v>
                </c:pt>
                <c:pt idx="115">
                  <c:v>5.2</c:v>
                </c:pt>
                <c:pt idx="116">
                  <c:v>5.0999999999999996</c:v>
                </c:pt>
                <c:pt idx="117">
                  <c:v>4.8</c:v>
                </c:pt>
                <c:pt idx="118">
                  <c:v>8</c:v>
                </c:pt>
                <c:pt idx="119">
                  <c:v>6.3</c:v>
                </c:pt>
                <c:pt idx="120">
                  <c:v>6.7</c:v>
                </c:pt>
                <c:pt idx="121">
                  <c:v>9.6</c:v>
                </c:pt>
                <c:pt idx="122">
                  <c:v>7.5</c:v>
                </c:pt>
                <c:pt idx="123">
                  <c:v>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F3B-4212-B114-181F0E09A233}"/>
            </c:ext>
          </c:extLst>
        </c:ser>
        <c:ser>
          <c:idx val="3"/>
          <c:order val="3"/>
          <c:tx>
            <c:strRef>
              <c:f>main!$H$5</c:f>
              <c:strCache>
                <c:ptCount val="1"/>
                <c:pt idx="0">
                  <c:v>BedTime (21:45)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main!$A$6:$A$130</c:f>
              <c:numCache>
                <c:formatCode>d\-mmm\-yy</c:formatCode>
                <c:ptCount val="125"/>
                <c:pt idx="0">
                  <c:v>45463</c:v>
                </c:pt>
                <c:pt idx="1">
                  <c:v>45464</c:v>
                </c:pt>
                <c:pt idx="2">
                  <c:v>45465</c:v>
                </c:pt>
                <c:pt idx="3">
                  <c:v>45466</c:v>
                </c:pt>
                <c:pt idx="4">
                  <c:v>45467</c:v>
                </c:pt>
                <c:pt idx="5">
                  <c:v>45468</c:v>
                </c:pt>
                <c:pt idx="6">
                  <c:v>45469</c:v>
                </c:pt>
                <c:pt idx="7">
                  <c:v>45470</c:v>
                </c:pt>
                <c:pt idx="8">
                  <c:v>45471</c:v>
                </c:pt>
                <c:pt idx="9">
                  <c:v>45472</c:v>
                </c:pt>
                <c:pt idx="10">
                  <c:v>45473</c:v>
                </c:pt>
                <c:pt idx="11">
                  <c:v>45474</c:v>
                </c:pt>
                <c:pt idx="12">
                  <c:v>45475</c:v>
                </c:pt>
                <c:pt idx="13">
                  <c:v>45476</c:v>
                </c:pt>
                <c:pt idx="14">
                  <c:v>45477</c:v>
                </c:pt>
                <c:pt idx="15">
                  <c:v>45478</c:v>
                </c:pt>
                <c:pt idx="16">
                  <c:v>45479</c:v>
                </c:pt>
                <c:pt idx="17">
                  <c:v>45480</c:v>
                </c:pt>
                <c:pt idx="18">
                  <c:v>45481</c:v>
                </c:pt>
                <c:pt idx="19">
                  <c:v>45482</c:v>
                </c:pt>
                <c:pt idx="20">
                  <c:v>45483</c:v>
                </c:pt>
                <c:pt idx="21">
                  <c:v>45484</c:v>
                </c:pt>
                <c:pt idx="22">
                  <c:v>45485</c:v>
                </c:pt>
                <c:pt idx="23">
                  <c:v>45486</c:v>
                </c:pt>
                <c:pt idx="24">
                  <c:v>45487</c:v>
                </c:pt>
                <c:pt idx="25">
                  <c:v>45488</c:v>
                </c:pt>
                <c:pt idx="26">
                  <c:v>45489</c:v>
                </c:pt>
                <c:pt idx="27">
                  <c:v>45490</c:v>
                </c:pt>
                <c:pt idx="28">
                  <c:v>45491</c:v>
                </c:pt>
                <c:pt idx="29">
                  <c:v>45492</c:v>
                </c:pt>
                <c:pt idx="30">
                  <c:v>45493</c:v>
                </c:pt>
                <c:pt idx="31">
                  <c:v>45494</c:v>
                </c:pt>
                <c:pt idx="32">
                  <c:v>45495</c:v>
                </c:pt>
                <c:pt idx="33">
                  <c:v>45496</c:v>
                </c:pt>
                <c:pt idx="34">
                  <c:v>45497</c:v>
                </c:pt>
                <c:pt idx="35">
                  <c:v>45498</c:v>
                </c:pt>
                <c:pt idx="36">
                  <c:v>45499</c:v>
                </c:pt>
                <c:pt idx="37">
                  <c:v>45500</c:v>
                </c:pt>
                <c:pt idx="38">
                  <c:v>45501</c:v>
                </c:pt>
                <c:pt idx="39">
                  <c:v>45502</c:v>
                </c:pt>
                <c:pt idx="40">
                  <c:v>45503</c:v>
                </c:pt>
                <c:pt idx="41">
                  <c:v>45504</c:v>
                </c:pt>
                <c:pt idx="42">
                  <c:v>45505</c:v>
                </c:pt>
                <c:pt idx="43">
                  <c:v>45506</c:v>
                </c:pt>
                <c:pt idx="44">
                  <c:v>45507</c:v>
                </c:pt>
                <c:pt idx="45">
                  <c:v>45508</c:v>
                </c:pt>
                <c:pt idx="46">
                  <c:v>45509</c:v>
                </c:pt>
                <c:pt idx="47">
                  <c:v>45510</c:v>
                </c:pt>
                <c:pt idx="48">
                  <c:v>45511</c:v>
                </c:pt>
                <c:pt idx="49">
                  <c:v>45512</c:v>
                </c:pt>
                <c:pt idx="50">
                  <c:v>45513</c:v>
                </c:pt>
                <c:pt idx="51">
                  <c:v>45514</c:v>
                </c:pt>
                <c:pt idx="52">
                  <c:v>45515</c:v>
                </c:pt>
                <c:pt idx="53">
                  <c:v>45516</c:v>
                </c:pt>
                <c:pt idx="54">
                  <c:v>45517</c:v>
                </c:pt>
                <c:pt idx="55">
                  <c:v>45518</c:v>
                </c:pt>
                <c:pt idx="56">
                  <c:v>45519</c:v>
                </c:pt>
                <c:pt idx="57">
                  <c:v>45520</c:v>
                </c:pt>
                <c:pt idx="58">
                  <c:v>45521</c:v>
                </c:pt>
                <c:pt idx="59">
                  <c:v>45522</c:v>
                </c:pt>
                <c:pt idx="60">
                  <c:v>45523</c:v>
                </c:pt>
                <c:pt idx="61">
                  <c:v>45524</c:v>
                </c:pt>
                <c:pt idx="62">
                  <c:v>45525</c:v>
                </c:pt>
                <c:pt idx="63">
                  <c:v>45526</c:v>
                </c:pt>
                <c:pt idx="64">
                  <c:v>45527</c:v>
                </c:pt>
                <c:pt idx="65">
                  <c:v>45528</c:v>
                </c:pt>
                <c:pt idx="66">
                  <c:v>45529</c:v>
                </c:pt>
                <c:pt idx="67">
                  <c:v>45530</c:v>
                </c:pt>
                <c:pt idx="68">
                  <c:v>45531</c:v>
                </c:pt>
                <c:pt idx="69">
                  <c:v>45532</c:v>
                </c:pt>
                <c:pt idx="70">
                  <c:v>45533</c:v>
                </c:pt>
                <c:pt idx="71">
                  <c:v>45534</c:v>
                </c:pt>
                <c:pt idx="72">
                  <c:v>45535</c:v>
                </c:pt>
                <c:pt idx="73">
                  <c:v>45536</c:v>
                </c:pt>
                <c:pt idx="74">
                  <c:v>45537</c:v>
                </c:pt>
                <c:pt idx="75">
                  <c:v>45538</c:v>
                </c:pt>
                <c:pt idx="76">
                  <c:v>45539</c:v>
                </c:pt>
                <c:pt idx="77">
                  <c:v>45540</c:v>
                </c:pt>
                <c:pt idx="78">
                  <c:v>45541</c:v>
                </c:pt>
                <c:pt idx="79">
                  <c:v>45542</c:v>
                </c:pt>
                <c:pt idx="80">
                  <c:v>45543</c:v>
                </c:pt>
                <c:pt idx="81">
                  <c:v>45544</c:v>
                </c:pt>
                <c:pt idx="82">
                  <c:v>45545</c:v>
                </c:pt>
                <c:pt idx="83">
                  <c:v>45546</c:v>
                </c:pt>
                <c:pt idx="84">
                  <c:v>45547</c:v>
                </c:pt>
                <c:pt idx="85">
                  <c:v>45548</c:v>
                </c:pt>
                <c:pt idx="86">
                  <c:v>45549</c:v>
                </c:pt>
                <c:pt idx="87">
                  <c:v>45550</c:v>
                </c:pt>
                <c:pt idx="88">
                  <c:v>45551</c:v>
                </c:pt>
                <c:pt idx="89">
                  <c:v>45552</c:v>
                </c:pt>
                <c:pt idx="90">
                  <c:v>45553</c:v>
                </c:pt>
                <c:pt idx="91">
                  <c:v>45554</c:v>
                </c:pt>
                <c:pt idx="92">
                  <c:v>45555</c:v>
                </c:pt>
                <c:pt idx="93">
                  <c:v>45556</c:v>
                </c:pt>
                <c:pt idx="94">
                  <c:v>45557</c:v>
                </c:pt>
                <c:pt idx="95">
                  <c:v>45558</c:v>
                </c:pt>
                <c:pt idx="96">
                  <c:v>45559</c:v>
                </c:pt>
                <c:pt idx="97">
                  <c:v>45560</c:v>
                </c:pt>
                <c:pt idx="98">
                  <c:v>45561</c:v>
                </c:pt>
                <c:pt idx="99">
                  <c:v>45562</c:v>
                </c:pt>
                <c:pt idx="100">
                  <c:v>45563</c:v>
                </c:pt>
                <c:pt idx="101">
                  <c:v>45564</c:v>
                </c:pt>
                <c:pt idx="102">
                  <c:v>45565</c:v>
                </c:pt>
                <c:pt idx="103">
                  <c:v>45566</c:v>
                </c:pt>
                <c:pt idx="104">
                  <c:v>45567</c:v>
                </c:pt>
                <c:pt idx="105">
                  <c:v>45568</c:v>
                </c:pt>
                <c:pt idx="106">
                  <c:v>45569</c:v>
                </c:pt>
                <c:pt idx="107">
                  <c:v>45570</c:v>
                </c:pt>
                <c:pt idx="108">
                  <c:v>45571</c:v>
                </c:pt>
                <c:pt idx="109">
                  <c:v>45572</c:v>
                </c:pt>
                <c:pt idx="110">
                  <c:v>45573</c:v>
                </c:pt>
                <c:pt idx="111">
                  <c:v>45574</c:v>
                </c:pt>
                <c:pt idx="112">
                  <c:v>45575</c:v>
                </c:pt>
                <c:pt idx="113">
                  <c:v>45576</c:v>
                </c:pt>
                <c:pt idx="114">
                  <c:v>45577</c:v>
                </c:pt>
                <c:pt idx="115">
                  <c:v>45578</c:v>
                </c:pt>
                <c:pt idx="116">
                  <c:v>45579</c:v>
                </c:pt>
                <c:pt idx="117">
                  <c:v>45580</c:v>
                </c:pt>
                <c:pt idx="118">
                  <c:v>45581</c:v>
                </c:pt>
                <c:pt idx="119">
                  <c:v>45582</c:v>
                </c:pt>
                <c:pt idx="120">
                  <c:v>45583</c:v>
                </c:pt>
                <c:pt idx="121">
                  <c:v>45584</c:v>
                </c:pt>
                <c:pt idx="122">
                  <c:v>45585</c:v>
                </c:pt>
                <c:pt idx="123">
                  <c:v>45586</c:v>
                </c:pt>
                <c:pt idx="124">
                  <c:v>45587</c:v>
                </c:pt>
              </c:numCache>
            </c:numRef>
          </c:cat>
          <c:val>
            <c:numRef>
              <c:f>main!$H$6:$H$130</c:f>
              <c:numCache>
                <c:formatCode>General</c:formatCode>
                <c:ptCount val="125"/>
                <c:pt idx="3">
                  <c:v>14.2</c:v>
                </c:pt>
                <c:pt idx="4">
                  <c:v>12.1</c:v>
                </c:pt>
                <c:pt idx="5">
                  <c:v>11.3</c:v>
                </c:pt>
                <c:pt idx="6">
                  <c:v>9.5</c:v>
                </c:pt>
                <c:pt idx="7">
                  <c:v>9.6999999999999993</c:v>
                </c:pt>
                <c:pt idx="8">
                  <c:v>11.3</c:v>
                </c:pt>
                <c:pt idx="9">
                  <c:v>10.8</c:v>
                </c:pt>
                <c:pt idx="10">
                  <c:v>7.3</c:v>
                </c:pt>
                <c:pt idx="11">
                  <c:v>7.7</c:v>
                </c:pt>
                <c:pt idx="12">
                  <c:v>6.8</c:v>
                </c:pt>
                <c:pt idx="13">
                  <c:v>6</c:v>
                </c:pt>
                <c:pt idx="14">
                  <c:v>5.5</c:v>
                </c:pt>
                <c:pt idx="15">
                  <c:v>8.3000000000000007</c:v>
                </c:pt>
                <c:pt idx="16">
                  <c:v>5.6</c:v>
                </c:pt>
                <c:pt idx="17">
                  <c:v>6.9</c:v>
                </c:pt>
                <c:pt idx="18">
                  <c:v>5.2</c:v>
                </c:pt>
                <c:pt idx="19">
                  <c:v>5.8</c:v>
                </c:pt>
                <c:pt idx="20">
                  <c:v>7.7</c:v>
                </c:pt>
                <c:pt idx="21">
                  <c:v>6.8</c:v>
                </c:pt>
                <c:pt idx="22">
                  <c:v>8.3000000000000007</c:v>
                </c:pt>
                <c:pt idx="23">
                  <c:v>4.5999999999999996</c:v>
                </c:pt>
                <c:pt idx="24">
                  <c:v>5.9</c:v>
                </c:pt>
                <c:pt idx="25">
                  <c:v>7.3</c:v>
                </c:pt>
                <c:pt idx="26">
                  <c:v>4.4000000000000004</c:v>
                </c:pt>
                <c:pt idx="27">
                  <c:v>6.1</c:v>
                </c:pt>
                <c:pt idx="28">
                  <c:v>7.7</c:v>
                </c:pt>
                <c:pt idx="29">
                  <c:v>6.5</c:v>
                </c:pt>
                <c:pt idx="30">
                  <c:v>7.4</c:v>
                </c:pt>
                <c:pt idx="31">
                  <c:v>5.5</c:v>
                </c:pt>
                <c:pt idx="32">
                  <c:v>4.5999999999999996</c:v>
                </c:pt>
                <c:pt idx="33">
                  <c:v>6</c:v>
                </c:pt>
                <c:pt idx="34">
                  <c:v>5</c:v>
                </c:pt>
                <c:pt idx="35">
                  <c:v>5.0999999999999996</c:v>
                </c:pt>
                <c:pt idx="36">
                  <c:v>7.4</c:v>
                </c:pt>
                <c:pt idx="37">
                  <c:v>5.4</c:v>
                </c:pt>
                <c:pt idx="38">
                  <c:v>5.3</c:v>
                </c:pt>
                <c:pt idx="39">
                  <c:v>4.5999999999999996</c:v>
                </c:pt>
                <c:pt idx="40">
                  <c:v>6.5</c:v>
                </c:pt>
                <c:pt idx="41">
                  <c:v>4.7</c:v>
                </c:pt>
                <c:pt idx="42">
                  <c:v>6.8</c:v>
                </c:pt>
                <c:pt idx="43">
                  <c:v>4.0999999999999996</c:v>
                </c:pt>
                <c:pt idx="44">
                  <c:v>5.7</c:v>
                </c:pt>
                <c:pt idx="45">
                  <c:v>5.6</c:v>
                </c:pt>
                <c:pt idx="46">
                  <c:v>5.7</c:v>
                </c:pt>
                <c:pt idx="47">
                  <c:v>4.7</c:v>
                </c:pt>
                <c:pt idx="48">
                  <c:v>6.7</c:v>
                </c:pt>
                <c:pt idx="49">
                  <c:v>5</c:v>
                </c:pt>
                <c:pt idx="50">
                  <c:v>8</c:v>
                </c:pt>
                <c:pt idx="51">
                  <c:v>6.3</c:v>
                </c:pt>
                <c:pt idx="52">
                  <c:v>5.0999999999999996</c:v>
                </c:pt>
                <c:pt idx="53">
                  <c:v>6.3</c:v>
                </c:pt>
                <c:pt idx="54">
                  <c:v>4.2</c:v>
                </c:pt>
                <c:pt idx="55">
                  <c:v>10.5</c:v>
                </c:pt>
                <c:pt idx="56">
                  <c:v>6.6</c:v>
                </c:pt>
                <c:pt idx="57">
                  <c:v>7.9</c:v>
                </c:pt>
                <c:pt idx="58">
                  <c:v>5</c:v>
                </c:pt>
                <c:pt idx="59">
                  <c:v>6.3</c:v>
                </c:pt>
                <c:pt idx="60">
                  <c:v>6.9</c:v>
                </c:pt>
                <c:pt idx="61">
                  <c:v>6.5</c:v>
                </c:pt>
                <c:pt idx="62">
                  <c:v>6.8</c:v>
                </c:pt>
                <c:pt idx="63">
                  <c:v>3.9</c:v>
                </c:pt>
                <c:pt idx="64">
                  <c:v>6.4</c:v>
                </c:pt>
                <c:pt idx="65">
                  <c:v>7.7</c:v>
                </c:pt>
                <c:pt idx="66">
                  <c:v>7.7</c:v>
                </c:pt>
                <c:pt idx="67">
                  <c:v>4</c:v>
                </c:pt>
                <c:pt idx="68">
                  <c:v>4.0999999999999996</c:v>
                </c:pt>
                <c:pt idx="69">
                  <c:v>10.8</c:v>
                </c:pt>
                <c:pt idx="70">
                  <c:v>3.8</c:v>
                </c:pt>
                <c:pt idx="71">
                  <c:v>4.9000000000000004</c:v>
                </c:pt>
                <c:pt idx="72">
                  <c:v>5.3</c:v>
                </c:pt>
                <c:pt idx="73">
                  <c:v>8.3000000000000007</c:v>
                </c:pt>
                <c:pt idx="74">
                  <c:v>7.8</c:v>
                </c:pt>
                <c:pt idx="75">
                  <c:v>6.8</c:v>
                </c:pt>
                <c:pt idx="76">
                  <c:v>6.2</c:v>
                </c:pt>
                <c:pt idx="77">
                  <c:v>5.0999999999999996</c:v>
                </c:pt>
                <c:pt idx="78">
                  <c:v>5.5</c:v>
                </c:pt>
                <c:pt idx="79">
                  <c:v>4.9000000000000004</c:v>
                </c:pt>
                <c:pt idx="80">
                  <c:v>7.1</c:v>
                </c:pt>
                <c:pt idx="81">
                  <c:v>5.8</c:v>
                </c:pt>
                <c:pt idx="82">
                  <c:v>5.9</c:v>
                </c:pt>
                <c:pt idx="83">
                  <c:v>7</c:v>
                </c:pt>
                <c:pt idx="84">
                  <c:v>6.5</c:v>
                </c:pt>
                <c:pt idx="85">
                  <c:v>5.4</c:v>
                </c:pt>
                <c:pt idx="86">
                  <c:v>7.6</c:v>
                </c:pt>
                <c:pt idx="87">
                  <c:v>7.1</c:v>
                </c:pt>
                <c:pt idx="88">
                  <c:v>9.9</c:v>
                </c:pt>
                <c:pt idx="89">
                  <c:v>7.8</c:v>
                </c:pt>
                <c:pt idx="90">
                  <c:v>11</c:v>
                </c:pt>
                <c:pt idx="91">
                  <c:v>6.3</c:v>
                </c:pt>
                <c:pt idx="92">
                  <c:v>4.9000000000000004</c:v>
                </c:pt>
                <c:pt idx="93">
                  <c:v>4.9000000000000004</c:v>
                </c:pt>
                <c:pt idx="94">
                  <c:v>6.9</c:v>
                </c:pt>
                <c:pt idx="95">
                  <c:v>6.9</c:v>
                </c:pt>
                <c:pt idx="96">
                  <c:v>6</c:v>
                </c:pt>
                <c:pt idx="97">
                  <c:v>5.3</c:v>
                </c:pt>
                <c:pt idx="98">
                  <c:v>5.5</c:v>
                </c:pt>
                <c:pt idx="99">
                  <c:v>5.7</c:v>
                </c:pt>
                <c:pt idx="100">
                  <c:v>7.7</c:v>
                </c:pt>
                <c:pt idx="101">
                  <c:v>5.0999999999999996</c:v>
                </c:pt>
                <c:pt idx="102">
                  <c:v>7.3</c:v>
                </c:pt>
                <c:pt idx="103">
                  <c:v>8.5</c:v>
                </c:pt>
                <c:pt idx="104">
                  <c:v>8.4</c:v>
                </c:pt>
                <c:pt idx="105">
                  <c:v>4.3</c:v>
                </c:pt>
                <c:pt idx="106">
                  <c:v>5.4</c:v>
                </c:pt>
                <c:pt idx="107">
                  <c:v>5</c:v>
                </c:pt>
                <c:pt idx="108">
                  <c:v>5.8</c:v>
                </c:pt>
                <c:pt idx="109">
                  <c:v>7.3</c:v>
                </c:pt>
                <c:pt idx="110">
                  <c:v>5</c:v>
                </c:pt>
                <c:pt idx="111">
                  <c:v>8</c:v>
                </c:pt>
                <c:pt idx="112">
                  <c:v>5.5</c:v>
                </c:pt>
                <c:pt idx="113">
                  <c:v>5</c:v>
                </c:pt>
                <c:pt idx="114">
                  <c:v>5</c:v>
                </c:pt>
                <c:pt idx="115">
                  <c:v>5.8</c:v>
                </c:pt>
                <c:pt idx="116">
                  <c:v>6.7</c:v>
                </c:pt>
                <c:pt idx="117">
                  <c:v>7</c:v>
                </c:pt>
                <c:pt idx="118">
                  <c:v>3.9</c:v>
                </c:pt>
                <c:pt idx="119">
                  <c:v>3.1</c:v>
                </c:pt>
                <c:pt idx="120">
                  <c:v>8</c:v>
                </c:pt>
                <c:pt idx="121">
                  <c:v>5.6</c:v>
                </c:pt>
                <c:pt idx="122">
                  <c:v>7</c:v>
                </c:pt>
                <c:pt idx="123">
                  <c:v>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F3B-4212-B114-181F0E09A2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6521008"/>
        <c:axId val="326523408"/>
      </c:lineChart>
      <c:dateAx>
        <c:axId val="326521008"/>
        <c:scaling>
          <c:orientation val="minMax"/>
        </c:scaling>
        <c:delete val="0"/>
        <c:axPos val="b"/>
        <c:numFmt formatCode="d\-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523408"/>
        <c:crosses val="autoZero"/>
        <c:auto val="1"/>
        <c:lblOffset val="100"/>
        <c:baseTimeUnit val="days"/>
        <c:majorUnit val="7"/>
        <c:majorTimeUnit val="days"/>
      </c:dateAx>
      <c:valAx>
        <c:axId val="326523408"/>
        <c:scaling>
          <c:orientation val="minMax"/>
          <c:max val="2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521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6799936333548711"/>
          <c:y val="1.890673422143706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9247594050743655E-2"/>
          <c:y val="0.14909185982782341"/>
          <c:w val="0.90297462817147855"/>
          <c:h val="0.72699309876851603"/>
        </c:manualLayout>
      </c:layout>
      <c:lineChart>
        <c:grouping val="standard"/>
        <c:varyColors val="0"/>
        <c:ser>
          <c:idx val="0"/>
          <c:order val="0"/>
          <c:tx>
            <c:strRef>
              <c:f>main!$C$5</c:f>
              <c:strCache>
                <c:ptCount val="1"/>
                <c:pt idx="0">
                  <c:v>Morning (07:15)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movingAvg"/>
            <c:period val="7"/>
            <c:dispRSqr val="0"/>
            <c:dispEq val="0"/>
          </c:trendline>
          <c:cat>
            <c:numRef>
              <c:f>main!$A$6:$A$130</c:f>
              <c:numCache>
                <c:formatCode>d\-mmm\-yy</c:formatCode>
                <c:ptCount val="125"/>
                <c:pt idx="0">
                  <c:v>45463</c:v>
                </c:pt>
                <c:pt idx="1">
                  <c:v>45464</c:v>
                </c:pt>
                <c:pt idx="2">
                  <c:v>45465</c:v>
                </c:pt>
                <c:pt idx="3">
                  <c:v>45466</c:v>
                </c:pt>
                <c:pt idx="4">
                  <c:v>45467</c:v>
                </c:pt>
                <c:pt idx="5">
                  <c:v>45468</c:v>
                </c:pt>
                <c:pt idx="6">
                  <c:v>45469</c:v>
                </c:pt>
                <c:pt idx="7">
                  <c:v>45470</c:v>
                </c:pt>
                <c:pt idx="8">
                  <c:v>45471</c:v>
                </c:pt>
                <c:pt idx="9">
                  <c:v>45472</c:v>
                </c:pt>
                <c:pt idx="10">
                  <c:v>45473</c:v>
                </c:pt>
                <c:pt idx="11">
                  <c:v>45474</c:v>
                </c:pt>
                <c:pt idx="12">
                  <c:v>45475</c:v>
                </c:pt>
                <c:pt idx="13">
                  <c:v>45476</c:v>
                </c:pt>
                <c:pt idx="14">
                  <c:v>45477</c:v>
                </c:pt>
                <c:pt idx="15">
                  <c:v>45478</c:v>
                </c:pt>
                <c:pt idx="16">
                  <c:v>45479</c:v>
                </c:pt>
                <c:pt idx="17">
                  <c:v>45480</c:v>
                </c:pt>
                <c:pt idx="18">
                  <c:v>45481</c:v>
                </c:pt>
                <c:pt idx="19">
                  <c:v>45482</c:v>
                </c:pt>
                <c:pt idx="20">
                  <c:v>45483</c:v>
                </c:pt>
                <c:pt idx="21">
                  <c:v>45484</c:v>
                </c:pt>
                <c:pt idx="22">
                  <c:v>45485</c:v>
                </c:pt>
                <c:pt idx="23">
                  <c:v>45486</c:v>
                </c:pt>
                <c:pt idx="24">
                  <c:v>45487</c:v>
                </c:pt>
                <c:pt idx="25">
                  <c:v>45488</c:v>
                </c:pt>
                <c:pt idx="26">
                  <c:v>45489</c:v>
                </c:pt>
                <c:pt idx="27">
                  <c:v>45490</c:v>
                </c:pt>
                <c:pt idx="28">
                  <c:v>45491</c:v>
                </c:pt>
                <c:pt idx="29">
                  <c:v>45492</c:v>
                </c:pt>
                <c:pt idx="30">
                  <c:v>45493</c:v>
                </c:pt>
                <c:pt idx="31">
                  <c:v>45494</c:v>
                </c:pt>
                <c:pt idx="32">
                  <c:v>45495</c:v>
                </c:pt>
                <c:pt idx="33">
                  <c:v>45496</c:v>
                </c:pt>
                <c:pt idx="34">
                  <c:v>45497</c:v>
                </c:pt>
                <c:pt idx="35">
                  <c:v>45498</c:v>
                </c:pt>
                <c:pt idx="36">
                  <c:v>45499</c:v>
                </c:pt>
                <c:pt idx="37">
                  <c:v>45500</c:v>
                </c:pt>
                <c:pt idx="38">
                  <c:v>45501</c:v>
                </c:pt>
                <c:pt idx="39">
                  <c:v>45502</c:v>
                </c:pt>
                <c:pt idx="40">
                  <c:v>45503</c:v>
                </c:pt>
                <c:pt idx="41">
                  <c:v>45504</c:v>
                </c:pt>
                <c:pt idx="42">
                  <c:v>45505</c:v>
                </c:pt>
                <c:pt idx="43">
                  <c:v>45506</c:v>
                </c:pt>
                <c:pt idx="44">
                  <c:v>45507</c:v>
                </c:pt>
                <c:pt idx="45">
                  <c:v>45508</c:v>
                </c:pt>
                <c:pt idx="46">
                  <c:v>45509</c:v>
                </c:pt>
                <c:pt idx="47">
                  <c:v>45510</c:v>
                </c:pt>
                <c:pt idx="48">
                  <c:v>45511</c:v>
                </c:pt>
                <c:pt idx="49">
                  <c:v>45512</c:v>
                </c:pt>
                <c:pt idx="50">
                  <c:v>45513</c:v>
                </c:pt>
                <c:pt idx="51">
                  <c:v>45514</c:v>
                </c:pt>
                <c:pt idx="52">
                  <c:v>45515</c:v>
                </c:pt>
                <c:pt idx="53">
                  <c:v>45516</c:v>
                </c:pt>
                <c:pt idx="54">
                  <c:v>45517</c:v>
                </c:pt>
                <c:pt idx="55">
                  <c:v>45518</c:v>
                </c:pt>
                <c:pt idx="56">
                  <c:v>45519</c:v>
                </c:pt>
                <c:pt idx="57">
                  <c:v>45520</c:v>
                </c:pt>
                <c:pt idx="58">
                  <c:v>45521</c:v>
                </c:pt>
                <c:pt idx="59">
                  <c:v>45522</c:v>
                </c:pt>
                <c:pt idx="60">
                  <c:v>45523</c:v>
                </c:pt>
                <c:pt idx="61">
                  <c:v>45524</c:v>
                </c:pt>
                <c:pt idx="62">
                  <c:v>45525</c:v>
                </c:pt>
                <c:pt idx="63">
                  <c:v>45526</c:v>
                </c:pt>
                <c:pt idx="64">
                  <c:v>45527</c:v>
                </c:pt>
                <c:pt idx="65">
                  <c:v>45528</c:v>
                </c:pt>
                <c:pt idx="66">
                  <c:v>45529</c:v>
                </c:pt>
                <c:pt idx="67">
                  <c:v>45530</c:v>
                </c:pt>
                <c:pt idx="68">
                  <c:v>45531</c:v>
                </c:pt>
                <c:pt idx="69">
                  <c:v>45532</c:v>
                </c:pt>
                <c:pt idx="70">
                  <c:v>45533</c:v>
                </c:pt>
                <c:pt idx="71">
                  <c:v>45534</c:v>
                </c:pt>
                <c:pt idx="72">
                  <c:v>45535</c:v>
                </c:pt>
                <c:pt idx="73">
                  <c:v>45536</c:v>
                </c:pt>
                <c:pt idx="74">
                  <c:v>45537</c:v>
                </c:pt>
                <c:pt idx="75">
                  <c:v>45538</c:v>
                </c:pt>
                <c:pt idx="76">
                  <c:v>45539</c:v>
                </c:pt>
                <c:pt idx="77">
                  <c:v>45540</c:v>
                </c:pt>
                <c:pt idx="78">
                  <c:v>45541</c:v>
                </c:pt>
                <c:pt idx="79">
                  <c:v>45542</c:v>
                </c:pt>
                <c:pt idx="80">
                  <c:v>45543</c:v>
                </c:pt>
                <c:pt idx="81">
                  <c:v>45544</c:v>
                </c:pt>
                <c:pt idx="82">
                  <c:v>45545</c:v>
                </c:pt>
                <c:pt idx="83">
                  <c:v>45546</c:v>
                </c:pt>
                <c:pt idx="84">
                  <c:v>45547</c:v>
                </c:pt>
                <c:pt idx="85">
                  <c:v>45548</c:v>
                </c:pt>
                <c:pt idx="86">
                  <c:v>45549</c:v>
                </c:pt>
                <c:pt idx="87">
                  <c:v>45550</c:v>
                </c:pt>
                <c:pt idx="88">
                  <c:v>45551</c:v>
                </c:pt>
                <c:pt idx="89">
                  <c:v>45552</c:v>
                </c:pt>
                <c:pt idx="90">
                  <c:v>45553</c:v>
                </c:pt>
                <c:pt idx="91">
                  <c:v>45554</c:v>
                </c:pt>
                <c:pt idx="92">
                  <c:v>45555</c:v>
                </c:pt>
                <c:pt idx="93">
                  <c:v>45556</c:v>
                </c:pt>
                <c:pt idx="94">
                  <c:v>45557</c:v>
                </c:pt>
                <c:pt idx="95">
                  <c:v>45558</c:v>
                </c:pt>
                <c:pt idx="96">
                  <c:v>45559</c:v>
                </c:pt>
                <c:pt idx="97">
                  <c:v>45560</c:v>
                </c:pt>
                <c:pt idx="98">
                  <c:v>45561</c:v>
                </c:pt>
                <c:pt idx="99">
                  <c:v>45562</c:v>
                </c:pt>
                <c:pt idx="100">
                  <c:v>45563</c:v>
                </c:pt>
                <c:pt idx="101">
                  <c:v>45564</c:v>
                </c:pt>
                <c:pt idx="102">
                  <c:v>45565</c:v>
                </c:pt>
                <c:pt idx="103">
                  <c:v>45566</c:v>
                </c:pt>
                <c:pt idx="104">
                  <c:v>45567</c:v>
                </c:pt>
                <c:pt idx="105">
                  <c:v>45568</c:v>
                </c:pt>
                <c:pt idx="106">
                  <c:v>45569</c:v>
                </c:pt>
                <c:pt idx="107">
                  <c:v>45570</c:v>
                </c:pt>
                <c:pt idx="108">
                  <c:v>45571</c:v>
                </c:pt>
                <c:pt idx="109">
                  <c:v>45572</c:v>
                </c:pt>
                <c:pt idx="110">
                  <c:v>45573</c:v>
                </c:pt>
                <c:pt idx="111">
                  <c:v>45574</c:v>
                </c:pt>
                <c:pt idx="112">
                  <c:v>45575</c:v>
                </c:pt>
                <c:pt idx="113">
                  <c:v>45576</c:v>
                </c:pt>
                <c:pt idx="114">
                  <c:v>45577</c:v>
                </c:pt>
                <c:pt idx="115">
                  <c:v>45578</c:v>
                </c:pt>
                <c:pt idx="116">
                  <c:v>45579</c:v>
                </c:pt>
                <c:pt idx="117">
                  <c:v>45580</c:v>
                </c:pt>
                <c:pt idx="118">
                  <c:v>45581</c:v>
                </c:pt>
                <c:pt idx="119">
                  <c:v>45582</c:v>
                </c:pt>
                <c:pt idx="120">
                  <c:v>45583</c:v>
                </c:pt>
                <c:pt idx="121">
                  <c:v>45584</c:v>
                </c:pt>
                <c:pt idx="122">
                  <c:v>45585</c:v>
                </c:pt>
                <c:pt idx="123">
                  <c:v>45586</c:v>
                </c:pt>
                <c:pt idx="124">
                  <c:v>45587</c:v>
                </c:pt>
              </c:numCache>
            </c:numRef>
          </c:cat>
          <c:val>
            <c:numRef>
              <c:f>main!$C$6:$C$130</c:f>
              <c:numCache>
                <c:formatCode>General</c:formatCode>
                <c:ptCount val="125"/>
                <c:pt idx="0">
                  <c:v>14.6</c:v>
                </c:pt>
                <c:pt idx="1">
                  <c:v>14.9</c:v>
                </c:pt>
                <c:pt idx="2">
                  <c:v>14.2</c:v>
                </c:pt>
                <c:pt idx="3">
                  <c:v>14.2</c:v>
                </c:pt>
                <c:pt idx="4">
                  <c:v>12.5</c:v>
                </c:pt>
                <c:pt idx="5">
                  <c:v>13.3</c:v>
                </c:pt>
                <c:pt idx="6">
                  <c:v>13.4</c:v>
                </c:pt>
                <c:pt idx="7">
                  <c:v>10.5</c:v>
                </c:pt>
                <c:pt idx="8">
                  <c:v>8.9</c:v>
                </c:pt>
                <c:pt idx="9">
                  <c:v>10.3</c:v>
                </c:pt>
                <c:pt idx="10">
                  <c:v>9.5</c:v>
                </c:pt>
                <c:pt idx="11">
                  <c:v>8.5</c:v>
                </c:pt>
                <c:pt idx="12">
                  <c:v>8.6</c:v>
                </c:pt>
                <c:pt idx="13">
                  <c:v>7.9</c:v>
                </c:pt>
                <c:pt idx="14">
                  <c:v>5.4</c:v>
                </c:pt>
                <c:pt idx="15">
                  <c:v>7.1</c:v>
                </c:pt>
                <c:pt idx="16">
                  <c:v>7.7</c:v>
                </c:pt>
                <c:pt idx="17">
                  <c:v>6.1</c:v>
                </c:pt>
                <c:pt idx="18">
                  <c:v>7.5</c:v>
                </c:pt>
                <c:pt idx="19">
                  <c:v>6.8</c:v>
                </c:pt>
                <c:pt idx="20">
                  <c:v>5.4</c:v>
                </c:pt>
                <c:pt idx="21">
                  <c:v>6.9</c:v>
                </c:pt>
                <c:pt idx="22">
                  <c:v>5.8</c:v>
                </c:pt>
                <c:pt idx="23">
                  <c:v>7.5</c:v>
                </c:pt>
                <c:pt idx="24">
                  <c:v>5.9</c:v>
                </c:pt>
                <c:pt idx="25">
                  <c:v>5.2</c:v>
                </c:pt>
                <c:pt idx="26">
                  <c:v>6.4</c:v>
                </c:pt>
                <c:pt idx="27">
                  <c:v>5.4</c:v>
                </c:pt>
                <c:pt idx="28">
                  <c:v>4.4000000000000004</c:v>
                </c:pt>
                <c:pt idx="29">
                  <c:v>5.0999999999999996</c:v>
                </c:pt>
                <c:pt idx="30">
                  <c:v>4.7</c:v>
                </c:pt>
                <c:pt idx="31">
                  <c:v>4.3</c:v>
                </c:pt>
                <c:pt idx="32">
                  <c:v>5.6</c:v>
                </c:pt>
                <c:pt idx="33">
                  <c:v>4.8</c:v>
                </c:pt>
                <c:pt idx="34">
                  <c:v>4.4000000000000004</c:v>
                </c:pt>
                <c:pt idx="35">
                  <c:v>5.3</c:v>
                </c:pt>
                <c:pt idx="36">
                  <c:v>4.2</c:v>
                </c:pt>
                <c:pt idx="37">
                  <c:v>4.7</c:v>
                </c:pt>
                <c:pt idx="38">
                  <c:v>5.4</c:v>
                </c:pt>
                <c:pt idx="39">
                  <c:v>5.5</c:v>
                </c:pt>
                <c:pt idx="40">
                  <c:v>5.9</c:v>
                </c:pt>
                <c:pt idx="41">
                  <c:v>6.2</c:v>
                </c:pt>
                <c:pt idx="42">
                  <c:v>6.8</c:v>
                </c:pt>
                <c:pt idx="43">
                  <c:v>5.5</c:v>
                </c:pt>
                <c:pt idx="44">
                  <c:v>4.4000000000000004</c:v>
                </c:pt>
                <c:pt idx="45">
                  <c:v>4.7</c:v>
                </c:pt>
                <c:pt idx="46">
                  <c:v>5.0999999999999996</c:v>
                </c:pt>
                <c:pt idx="47">
                  <c:v>5.6</c:v>
                </c:pt>
                <c:pt idx="48" formatCode="0.0">
                  <c:v>4.2</c:v>
                </c:pt>
                <c:pt idx="49">
                  <c:v>5.2</c:v>
                </c:pt>
                <c:pt idx="50">
                  <c:v>6.6</c:v>
                </c:pt>
                <c:pt idx="51">
                  <c:v>5.7</c:v>
                </c:pt>
                <c:pt idx="52">
                  <c:v>5.9</c:v>
                </c:pt>
                <c:pt idx="53">
                  <c:v>4.7</c:v>
                </c:pt>
                <c:pt idx="54">
                  <c:v>6</c:v>
                </c:pt>
                <c:pt idx="55">
                  <c:v>5.6</c:v>
                </c:pt>
                <c:pt idx="56">
                  <c:v>5.7</c:v>
                </c:pt>
                <c:pt idx="57">
                  <c:v>4.9000000000000004</c:v>
                </c:pt>
                <c:pt idx="58">
                  <c:v>5.7</c:v>
                </c:pt>
                <c:pt idx="59">
                  <c:v>4.9000000000000004</c:v>
                </c:pt>
                <c:pt idx="60">
                  <c:v>4.5999999999999996</c:v>
                </c:pt>
                <c:pt idx="61">
                  <c:v>4.2</c:v>
                </c:pt>
                <c:pt idx="62">
                  <c:v>4.3</c:v>
                </c:pt>
                <c:pt idx="63">
                  <c:v>5.4</c:v>
                </c:pt>
                <c:pt idx="64">
                  <c:v>4.8</c:v>
                </c:pt>
                <c:pt idx="65">
                  <c:v>4.2</c:v>
                </c:pt>
                <c:pt idx="66">
                  <c:v>5</c:v>
                </c:pt>
                <c:pt idx="67">
                  <c:v>6.2</c:v>
                </c:pt>
                <c:pt idx="68">
                  <c:v>5.8</c:v>
                </c:pt>
                <c:pt idx="69">
                  <c:v>5.5</c:v>
                </c:pt>
                <c:pt idx="70">
                  <c:v>5.7</c:v>
                </c:pt>
                <c:pt idx="71">
                  <c:v>5.9</c:v>
                </c:pt>
                <c:pt idx="72">
                  <c:v>6.4</c:v>
                </c:pt>
                <c:pt idx="73">
                  <c:v>5.9</c:v>
                </c:pt>
                <c:pt idx="74">
                  <c:v>6.4</c:v>
                </c:pt>
                <c:pt idx="75">
                  <c:v>6.5</c:v>
                </c:pt>
                <c:pt idx="76">
                  <c:v>5.3</c:v>
                </c:pt>
                <c:pt idx="77">
                  <c:v>5.3</c:v>
                </c:pt>
                <c:pt idx="78">
                  <c:v>4.3</c:v>
                </c:pt>
                <c:pt idx="79">
                  <c:v>6.1</c:v>
                </c:pt>
                <c:pt idx="80">
                  <c:v>6.5</c:v>
                </c:pt>
                <c:pt idx="81">
                  <c:v>4.8</c:v>
                </c:pt>
                <c:pt idx="82">
                  <c:v>5.9</c:v>
                </c:pt>
                <c:pt idx="83">
                  <c:v>5.7</c:v>
                </c:pt>
                <c:pt idx="84">
                  <c:v>5.9</c:v>
                </c:pt>
                <c:pt idx="85">
                  <c:v>6.7</c:v>
                </c:pt>
                <c:pt idx="86">
                  <c:v>6.2</c:v>
                </c:pt>
                <c:pt idx="87">
                  <c:v>6.7</c:v>
                </c:pt>
                <c:pt idx="88">
                  <c:v>6.1</c:v>
                </c:pt>
                <c:pt idx="89">
                  <c:v>5.2</c:v>
                </c:pt>
                <c:pt idx="90">
                  <c:v>5.9</c:v>
                </c:pt>
                <c:pt idx="91">
                  <c:v>6.7</c:v>
                </c:pt>
                <c:pt idx="92">
                  <c:v>5.0999999999999996</c:v>
                </c:pt>
                <c:pt idx="93">
                  <c:v>5.0999999999999996</c:v>
                </c:pt>
                <c:pt idx="94">
                  <c:v>5.2</c:v>
                </c:pt>
                <c:pt idx="95">
                  <c:v>6.3</c:v>
                </c:pt>
                <c:pt idx="96">
                  <c:v>4.8</c:v>
                </c:pt>
                <c:pt idx="97">
                  <c:v>6.6</c:v>
                </c:pt>
                <c:pt idx="98">
                  <c:v>4.5999999999999996</c:v>
                </c:pt>
                <c:pt idx="99">
                  <c:v>4.9000000000000004</c:v>
                </c:pt>
                <c:pt idx="100">
                  <c:v>5.7</c:v>
                </c:pt>
                <c:pt idx="101">
                  <c:v>6.1</c:v>
                </c:pt>
                <c:pt idx="102">
                  <c:v>5.7</c:v>
                </c:pt>
                <c:pt idx="103">
                  <c:v>5.8</c:v>
                </c:pt>
                <c:pt idx="104">
                  <c:v>6.8</c:v>
                </c:pt>
                <c:pt idx="105">
                  <c:v>5.9</c:v>
                </c:pt>
                <c:pt idx="106">
                  <c:v>4.9000000000000004</c:v>
                </c:pt>
                <c:pt idx="107">
                  <c:v>5.7</c:v>
                </c:pt>
                <c:pt idx="108">
                  <c:v>6.4</c:v>
                </c:pt>
                <c:pt idx="109">
                  <c:v>4.2</c:v>
                </c:pt>
                <c:pt idx="110">
                  <c:v>5.2</c:v>
                </c:pt>
                <c:pt idx="111">
                  <c:v>4.5999999999999996</c:v>
                </c:pt>
                <c:pt idx="112">
                  <c:v>4.9000000000000004</c:v>
                </c:pt>
                <c:pt idx="113">
                  <c:v>5</c:v>
                </c:pt>
                <c:pt idx="114">
                  <c:v>3.9</c:v>
                </c:pt>
                <c:pt idx="115">
                  <c:v>5.7</c:v>
                </c:pt>
                <c:pt idx="116">
                  <c:v>3.5</c:v>
                </c:pt>
                <c:pt idx="117">
                  <c:v>4.2</c:v>
                </c:pt>
                <c:pt idx="118">
                  <c:v>5.5</c:v>
                </c:pt>
                <c:pt idx="119">
                  <c:v>5.0999999999999996</c:v>
                </c:pt>
                <c:pt idx="120">
                  <c:v>5.2</c:v>
                </c:pt>
                <c:pt idx="121">
                  <c:v>7.3</c:v>
                </c:pt>
                <c:pt idx="122">
                  <c:v>7</c:v>
                </c:pt>
                <c:pt idx="123">
                  <c:v>6.8</c:v>
                </c:pt>
                <c:pt idx="124">
                  <c:v>6.6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A2-45D1-A417-B6A7D2DD07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7951056"/>
        <c:axId val="337892496"/>
      </c:lineChart>
      <c:dateAx>
        <c:axId val="337951056"/>
        <c:scaling>
          <c:orientation val="minMax"/>
        </c:scaling>
        <c:delete val="0"/>
        <c:axPos val="b"/>
        <c:numFmt formatCode="d\-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892496"/>
        <c:crosses val="autoZero"/>
        <c:auto val="1"/>
        <c:lblOffset val="100"/>
        <c:baseTimeUnit val="days"/>
        <c:majorUnit val="7"/>
        <c:majorTimeUnit val="days"/>
      </c:dateAx>
      <c:valAx>
        <c:axId val="33789249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951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5133814048158323E-2"/>
          <c:y val="0.15898940991797661"/>
          <c:w val="0.88772766147933169"/>
          <c:h val="0.71495958934087089"/>
        </c:manualLayout>
      </c:layout>
      <c:lineChart>
        <c:grouping val="standard"/>
        <c:varyColors val="0"/>
        <c:ser>
          <c:idx val="0"/>
          <c:order val="0"/>
          <c:tx>
            <c:strRef>
              <c:f>main!$E$5</c:f>
              <c:strCache>
                <c:ptCount val="1"/>
                <c:pt idx="0">
                  <c:v>Lunch (12:50)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movingAvg"/>
            <c:period val="7"/>
            <c:dispRSqr val="0"/>
            <c:dispEq val="0"/>
          </c:trendline>
          <c:cat>
            <c:numRef>
              <c:f>main!$A$6:$A$130</c:f>
              <c:numCache>
                <c:formatCode>d\-mmm\-yy</c:formatCode>
                <c:ptCount val="125"/>
                <c:pt idx="0">
                  <c:v>45463</c:v>
                </c:pt>
                <c:pt idx="1">
                  <c:v>45464</c:v>
                </c:pt>
                <c:pt idx="2">
                  <c:v>45465</c:v>
                </c:pt>
                <c:pt idx="3">
                  <c:v>45466</c:v>
                </c:pt>
                <c:pt idx="4">
                  <c:v>45467</c:v>
                </c:pt>
                <c:pt idx="5">
                  <c:v>45468</c:v>
                </c:pt>
                <c:pt idx="6">
                  <c:v>45469</c:v>
                </c:pt>
                <c:pt idx="7">
                  <c:v>45470</c:v>
                </c:pt>
                <c:pt idx="8">
                  <c:v>45471</c:v>
                </c:pt>
                <c:pt idx="9">
                  <c:v>45472</c:v>
                </c:pt>
                <c:pt idx="10">
                  <c:v>45473</c:v>
                </c:pt>
                <c:pt idx="11">
                  <c:v>45474</c:v>
                </c:pt>
                <c:pt idx="12">
                  <c:v>45475</c:v>
                </c:pt>
                <c:pt idx="13">
                  <c:v>45476</c:v>
                </c:pt>
                <c:pt idx="14">
                  <c:v>45477</c:v>
                </c:pt>
                <c:pt idx="15">
                  <c:v>45478</c:v>
                </c:pt>
                <c:pt idx="16">
                  <c:v>45479</c:v>
                </c:pt>
                <c:pt idx="17">
                  <c:v>45480</c:v>
                </c:pt>
                <c:pt idx="18">
                  <c:v>45481</c:v>
                </c:pt>
                <c:pt idx="19">
                  <c:v>45482</c:v>
                </c:pt>
                <c:pt idx="20">
                  <c:v>45483</c:v>
                </c:pt>
                <c:pt idx="21">
                  <c:v>45484</c:v>
                </c:pt>
                <c:pt idx="22">
                  <c:v>45485</c:v>
                </c:pt>
                <c:pt idx="23">
                  <c:v>45486</c:v>
                </c:pt>
                <c:pt idx="24">
                  <c:v>45487</c:v>
                </c:pt>
                <c:pt idx="25">
                  <c:v>45488</c:v>
                </c:pt>
                <c:pt idx="26">
                  <c:v>45489</c:v>
                </c:pt>
                <c:pt idx="27">
                  <c:v>45490</c:v>
                </c:pt>
                <c:pt idx="28">
                  <c:v>45491</c:v>
                </c:pt>
                <c:pt idx="29">
                  <c:v>45492</c:v>
                </c:pt>
                <c:pt idx="30">
                  <c:v>45493</c:v>
                </c:pt>
                <c:pt idx="31">
                  <c:v>45494</c:v>
                </c:pt>
                <c:pt idx="32">
                  <c:v>45495</c:v>
                </c:pt>
                <c:pt idx="33">
                  <c:v>45496</c:v>
                </c:pt>
                <c:pt idx="34">
                  <c:v>45497</c:v>
                </c:pt>
                <c:pt idx="35">
                  <c:v>45498</c:v>
                </c:pt>
                <c:pt idx="36">
                  <c:v>45499</c:v>
                </c:pt>
                <c:pt idx="37">
                  <c:v>45500</c:v>
                </c:pt>
                <c:pt idx="38">
                  <c:v>45501</c:v>
                </c:pt>
                <c:pt idx="39">
                  <c:v>45502</c:v>
                </c:pt>
                <c:pt idx="40">
                  <c:v>45503</c:v>
                </c:pt>
                <c:pt idx="41">
                  <c:v>45504</c:v>
                </c:pt>
                <c:pt idx="42">
                  <c:v>45505</c:v>
                </c:pt>
                <c:pt idx="43">
                  <c:v>45506</c:v>
                </c:pt>
                <c:pt idx="44">
                  <c:v>45507</c:v>
                </c:pt>
                <c:pt idx="45">
                  <c:v>45508</c:v>
                </c:pt>
                <c:pt idx="46">
                  <c:v>45509</c:v>
                </c:pt>
                <c:pt idx="47">
                  <c:v>45510</c:v>
                </c:pt>
                <c:pt idx="48">
                  <c:v>45511</c:v>
                </c:pt>
                <c:pt idx="49">
                  <c:v>45512</c:v>
                </c:pt>
                <c:pt idx="50">
                  <c:v>45513</c:v>
                </c:pt>
                <c:pt idx="51">
                  <c:v>45514</c:v>
                </c:pt>
                <c:pt idx="52">
                  <c:v>45515</c:v>
                </c:pt>
                <c:pt idx="53">
                  <c:v>45516</c:v>
                </c:pt>
                <c:pt idx="54">
                  <c:v>45517</c:v>
                </c:pt>
                <c:pt idx="55">
                  <c:v>45518</c:v>
                </c:pt>
                <c:pt idx="56">
                  <c:v>45519</c:v>
                </c:pt>
                <c:pt idx="57">
                  <c:v>45520</c:v>
                </c:pt>
                <c:pt idx="58">
                  <c:v>45521</c:v>
                </c:pt>
                <c:pt idx="59">
                  <c:v>45522</c:v>
                </c:pt>
                <c:pt idx="60">
                  <c:v>45523</c:v>
                </c:pt>
                <c:pt idx="61">
                  <c:v>45524</c:v>
                </c:pt>
                <c:pt idx="62">
                  <c:v>45525</c:v>
                </c:pt>
                <c:pt idx="63">
                  <c:v>45526</c:v>
                </c:pt>
                <c:pt idx="64">
                  <c:v>45527</c:v>
                </c:pt>
                <c:pt idx="65">
                  <c:v>45528</c:v>
                </c:pt>
                <c:pt idx="66">
                  <c:v>45529</c:v>
                </c:pt>
                <c:pt idx="67">
                  <c:v>45530</c:v>
                </c:pt>
                <c:pt idx="68">
                  <c:v>45531</c:v>
                </c:pt>
                <c:pt idx="69">
                  <c:v>45532</c:v>
                </c:pt>
                <c:pt idx="70">
                  <c:v>45533</c:v>
                </c:pt>
                <c:pt idx="71">
                  <c:v>45534</c:v>
                </c:pt>
                <c:pt idx="72">
                  <c:v>45535</c:v>
                </c:pt>
                <c:pt idx="73">
                  <c:v>45536</c:v>
                </c:pt>
                <c:pt idx="74">
                  <c:v>45537</c:v>
                </c:pt>
                <c:pt idx="75">
                  <c:v>45538</c:v>
                </c:pt>
                <c:pt idx="76">
                  <c:v>45539</c:v>
                </c:pt>
                <c:pt idx="77">
                  <c:v>45540</c:v>
                </c:pt>
                <c:pt idx="78">
                  <c:v>45541</c:v>
                </c:pt>
                <c:pt idx="79">
                  <c:v>45542</c:v>
                </c:pt>
                <c:pt idx="80">
                  <c:v>45543</c:v>
                </c:pt>
                <c:pt idx="81">
                  <c:v>45544</c:v>
                </c:pt>
                <c:pt idx="82">
                  <c:v>45545</c:v>
                </c:pt>
                <c:pt idx="83">
                  <c:v>45546</c:v>
                </c:pt>
                <c:pt idx="84">
                  <c:v>45547</c:v>
                </c:pt>
                <c:pt idx="85">
                  <c:v>45548</c:v>
                </c:pt>
                <c:pt idx="86">
                  <c:v>45549</c:v>
                </c:pt>
                <c:pt idx="87">
                  <c:v>45550</c:v>
                </c:pt>
                <c:pt idx="88">
                  <c:v>45551</c:v>
                </c:pt>
                <c:pt idx="89">
                  <c:v>45552</c:v>
                </c:pt>
                <c:pt idx="90">
                  <c:v>45553</c:v>
                </c:pt>
                <c:pt idx="91">
                  <c:v>45554</c:v>
                </c:pt>
                <c:pt idx="92">
                  <c:v>45555</c:v>
                </c:pt>
                <c:pt idx="93">
                  <c:v>45556</c:v>
                </c:pt>
                <c:pt idx="94">
                  <c:v>45557</c:v>
                </c:pt>
                <c:pt idx="95">
                  <c:v>45558</c:v>
                </c:pt>
                <c:pt idx="96">
                  <c:v>45559</c:v>
                </c:pt>
                <c:pt idx="97">
                  <c:v>45560</c:v>
                </c:pt>
                <c:pt idx="98">
                  <c:v>45561</c:v>
                </c:pt>
                <c:pt idx="99">
                  <c:v>45562</c:v>
                </c:pt>
                <c:pt idx="100">
                  <c:v>45563</c:v>
                </c:pt>
                <c:pt idx="101">
                  <c:v>45564</c:v>
                </c:pt>
                <c:pt idx="102">
                  <c:v>45565</c:v>
                </c:pt>
                <c:pt idx="103">
                  <c:v>45566</c:v>
                </c:pt>
                <c:pt idx="104">
                  <c:v>45567</c:v>
                </c:pt>
                <c:pt idx="105">
                  <c:v>45568</c:v>
                </c:pt>
                <c:pt idx="106">
                  <c:v>45569</c:v>
                </c:pt>
                <c:pt idx="107">
                  <c:v>45570</c:v>
                </c:pt>
                <c:pt idx="108">
                  <c:v>45571</c:v>
                </c:pt>
                <c:pt idx="109">
                  <c:v>45572</c:v>
                </c:pt>
                <c:pt idx="110">
                  <c:v>45573</c:v>
                </c:pt>
                <c:pt idx="111">
                  <c:v>45574</c:v>
                </c:pt>
                <c:pt idx="112">
                  <c:v>45575</c:v>
                </c:pt>
                <c:pt idx="113">
                  <c:v>45576</c:v>
                </c:pt>
                <c:pt idx="114">
                  <c:v>45577</c:v>
                </c:pt>
                <c:pt idx="115">
                  <c:v>45578</c:v>
                </c:pt>
                <c:pt idx="116">
                  <c:v>45579</c:v>
                </c:pt>
                <c:pt idx="117">
                  <c:v>45580</c:v>
                </c:pt>
                <c:pt idx="118">
                  <c:v>45581</c:v>
                </c:pt>
                <c:pt idx="119">
                  <c:v>45582</c:v>
                </c:pt>
                <c:pt idx="120">
                  <c:v>45583</c:v>
                </c:pt>
                <c:pt idx="121">
                  <c:v>45584</c:v>
                </c:pt>
                <c:pt idx="122">
                  <c:v>45585</c:v>
                </c:pt>
                <c:pt idx="123">
                  <c:v>45586</c:v>
                </c:pt>
                <c:pt idx="124">
                  <c:v>45587</c:v>
                </c:pt>
              </c:numCache>
            </c:numRef>
          </c:cat>
          <c:val>
            <c:numRef>
              <c:f>main!$E$6:$E$130</c:f>
              <c:numCache>
                <c:formatCode>General</c:formatCode>
                <c:ptCount val="125"/>
                <c:pt idx="0">
                  <c:v>18.5</c:v>
                </c:pt>
                <c:pt idx="1">
                  <c:v>18.5</c:v>
                </c:pt>
                <c:pt idx="2">
                  <c:v>19.5</c:v>
                </c:pt>
                <c:pt idx="3">
                  <c:v>17.899999999999999</c:v>
                </c:pt>
                <c:pt idx="4">
                  <c:v>18.100000000000001</c:v>
                </c:pt>
                <c:pt idx="5">
                  <c:v>16.7</c:v>
                </c:pt>
                <c:pt idx="6">
                  <c:v>17.3</c:v>
                </c:pt>
                <c:pt idx="7">
                  <c:v>17.2</c:v>
                </c:pt>
                <c:pt idx="8">
                  <c:v>15.3</c:v>
                </c:pt>
                <c:pt idx="9">
                  <c:v>15.8</c:v>
                </c:pt>
                <c:pt idx="10">
                  <c:v>14.3</c:v>
                </c:pt>
                <c:pt idx="11">
                  <c:v>13.4</c:v>
                </c:pt>
                <c:pt idx="12">
                  <c:v>9.5</c:v>
                </c:pt>
                <c:pt idx="13">
                  <c:v>10.6</c:v>
                </c:pt>
                <c:pt idx="14">
                  <c:v>8.5</c:v>
                </c:pt>
                <c:pt idx="15">
                  <c:v>10</c:v>
                </c:pt>
                <c:pt idx="16">
                  <c:v>8.1999999999999993</c:v>
                </c:pt>
                <c:pt idx="17">
                  <c:v>7</c:v>
                </c:pt>
                <c:pt idx="18">
                  <c:v>9.8000000000000007</c:v>
                </c:pt>
                <c:pt idx="19">
                  <c:v>8.4</c:v>
                </c:pt>
                <c:pt idx="20">
                  <c:v>5.3</c:v>
                </c:pt>
                <c:pt idx="21">
                  <c:v>4.5</c:v>
                </c:pt>
                <c:pt idx="22">
                  <c:v>8.1999999999999993</c:v>
                </c:pt>
                <c:pt idx="23">
                  <c:v>4.4000000000000004</c:v>
                </c:pt>
                <c:pt idx="24">
                  <c:v>6.5</c:v>
                </c:pt>
                <c:pt idx="25">
                  <c:v>7.4</c:v>
                </c:pt>
                <c:pt idx="26">
                  <c:v>5.5</c:v>
                </c:pt>
                <c:pt idx="27">
                  <c:v>7</c:v>
                </c:pt>
                <c:pt idx="28">
                  <c:v>6.1</c:v>
                </c:pt>
                <c:pt idx="29">
                  <c:v>5.3</c:v>
                </c:pt>
                <c:pt idx="30">
                  <c:v>3.9</c:v>
                </c:pt>
                <c:pt idx="31">
                  <c:v>3.8</c:v>
                </c:pt>
                <c:pt idx="32">
                  <c:v>5.8</c:v>
                </c:pt>
                <c:pt idx="33">
                  <c:v>7.2</c:v>
                </c:pt>
                <c:pt idx="34">
                  <c:v>7.2</c:v>
                </c:pt>
                <c:pt idx="35">
                  <c:v>6.9</c:v>
                </c:pt>
                <c:pt idx="36">
                  <c:v>4.2</c:v>
                </c:pt>
                <c:pt idx="37">
                  <c:v>4.7</c:v>
                </c:pt>
                <c:pt idx="38">
                  <c:v>5.9</c:v>
                </c:pt>
                <c:pt idx="39">
                  <c:v>6.1</c:v>
                </c:pt>
                <c:pt idx="40">
                  <c:v>7.8</c:v>
                </c:pt>
                <c:pt idx="41">
                  <c:v>6.1</c:v>
                </c:pt>
                <c:pt idx="42">
                  <c:v>7</c:v>
                </c:pt>
                <c:pt idx="43">
                  <c:v>6.2</c:v>
                </c:pt>
                <c:pt idx="44">
                  <c:v>6.2</c:v>
                </c:pt>
                <c:pt idx="45">
                  <c:v>5.9</c:v>
                </c:pt>
                <c:pt idx="46">
                  <c:v>8.4</c:v>
                </c:pt>
                <c:pt idx="47">
                  <c:v>6.2</c:v>
                </c:pt>
                <c:pt idx="48" formatCode="0.0">
                  <c:v>6.3</c:v>
                </c:pt>
                <c:pt idx="49">
                  <c:v>7.5</c:v>
                </c:pt>
                <c:pt idx="50">
                  <c:v>6.1</c:v>
                </c:pt>
                <c:pt idx="51">
                  <c:v>7.4</c:v>
                </c:pt>
                <c:pt idx="52">
                  <c:v>4.8</c:v>
                </c:pt>
                <c:pt idx="53">
                  <c:v>4.5999999999999996</c:v>
                </c:pt>
                <c:pt idx="54">
                  <c:v>5.4</c:v>
                </c:pt>
                <c:pt idx="55">
                  <c:v>5.9</c:v>
                </c:pt>
                <c:pt idx="56">
                  <c:v>7.8</c:v>
                </c:pt>
                <c:pt idx="57">
                  <c:v>5.8</c:v>
                </c:pt>
                <c:pt idx="58">
                  <c:v>4.8</c:v>
                </c:pt>
                <c:pt idx="59">
                  <c:v>6.3</c:v>
                </c:pt>
                <c:pt idx="60">
                  <c:v>5.3</c:v>
                </c:pt>
                <c:pt idx="61">
                  <c:v>7.1</c:v>
                </c:pt>
                <c:pt idx="62">
                  <c:v>4.9000000000000004</c:v>
                </c:pt>
                <c:pt idx="63">
                  <c:v>6.7</c:v>
                </c:pt>
                <c:pt idx="64">
                  <c:v>5.8</c:v>
                </c:pt>
                <c:pt idx="65">
                  <c:v>7</c:v>
                </c:pt>
                <c:pt idx="66">
                  <c:v>5.0999999999999996</c:v>
                </c:pt>
                <c:pt idx="67">
                  <c:v>7</c:v>
                </c:pt>
                <c:pt idx="68">
                  <c:v>6.3</c:v>
                </c:pt>
                <c:pt idx="69">
                  <c:v>4.5999999999999996</c:v>
                </c:pt>
                <c:pt idx="70">
                  <c:v>7</c:v>
                </c:pt>
                <c:pt idx="71">
                  <c:v>5.8</c:v>
                </c:pt>
                <c:pt idx="72">
                  <c:v>9.9</c:v>
                </c:pt>
                <c:pt idx="73">
                  <c:v>9.3000000000000007</c:v>
                </c:pt>
                <c:pt idx="74">
                  <c:v>6</c:v>
                </c:pt>
                <c:pt idx="75">
                  <c:v>8.9</c:v>
                </c:pt>
                <c:pt idx="76">
                  <c:v>4.8</c:v>
                </c:pt>
                <c:pt idx="77">
                  <c:v>6</c:v>
                </c:pt>
                <c:pt idx="78">
                  <c:v>5.0999999999999996</c:v>
                </c:pt>
                <c:pt idx="79">
                  <c:v>6.3</c:v>
                </c:pt>
                <c:pt idx="80">
                  <c:v>7.3</c:v>
                </c:pt>
                <c:pt idx="81">
                  <c:v>5.2</c:v>
                </c:pt>
                <c:pt idx="82">
                  <c:v>5.5</c:v>
                </c:pt>
                <c:pt idx="83">
                  <c:v>8.9</c:v>
                </c:pt>
                <c:pt idx="84">
                  <c:v>7</c:v>
                </c:pt>
                <c:pt idx="85">
                  <c:v>5.4</c:v>
                </c:pt>
                <c:pt idx="86">
                  <c:v>6.8</c:v>
                </c:pt>
                <c:pt idx="87">
                  <c:v>5.0999999999999996</c:v>
                </c:pt>
                <c:pt idx="88">
                  <c:v>5.6</c:v>
                </c:pt>
                <c:pt idx="89">
                  <c:v>4.8</c:v>
                </c:pt>
                <c:pt idx="90">
                  <c:v>6.8</c:v>
                </c:pt>
                <c:pt idx="91">
                  <c:v>8.9</c:v>
                </c:pt>
                <c:pt idx="92">
                  <c:v>6.3</c:v>
                </c:pt>
                <c:pt idx="93">
                  <c:v>7.3</c:v>
                </c:pt>
                <c:pt idx="94">
                  <c:v>5.0999999999999996</c:v>
                </c:pt>
                <c:pt idx="95">
                  <c:v>8</c:v>
                </c:pt>
                <c:pt idx="96">
                  <c:v>8.4</c:v>
                </c:pt>
                <c:pt idx="97">
                  <c:v>8.3000000000000007</c:v>
                </c:pt>
                <c:pt idx="98">
                  <c:v>7.8</c:v>
                </c:pt>
                <c:pt idx="99">
                  <c:v>6.1</c:v>
                </c:pt>
                <c:pt idx="100">
                  <c:v>6</c:v>
                </c:pt>
                <c:pt idx="101">
                  <c:v>8</c:v>
                </c:pt>
                <c:pt idx="102">
                  <c:v>7.4</c:v>
                </c:pt>
                <c:pt idx="103">
                  <c:v>6.6</c:v>
                </c:pt>
                <c:pt idx="104">
                  <c:v>8.1999999999999993</c:v>
                </c:pt>
                <c:pt idx="105">
                  <c:v>7.7</c:v>
                </c:pt>
                <c:pt idx="106">
                  <c:v>6</c:v>
                </c:pt>
                <c:pt idx="107">
                  <c:v>11.1</c:v>
                </c:pt>
                <c:pt idx="108">
                  <c:v>6</c:v>
                </c:pt>
                <c:pt idx="109">
                  <c:v>5.5</c:v>
                </c:pt>
                <c:pt idx="110">
                  <c:v>6.1</c:v>
                </c:pt>
                <c:pt idx="111">
                  <c:v>6</c:v>
                </c:pt>
                <c:pt idx="112">
                  <c:v>5.0999999999999996</c:v>
                </c:pt>
                <c:pt idx="113">
                  <c:v>9.4</c:v>
                </c:pt>
                <c:pt idx="114">
                  <c:v>4.2</c:v>
                </c:pt>
                <c:pt idx="115">
                  <c:v>5.6</c:v>
                </c:pt>
                <c:pt idx="116">
                  <c:v>5.4</c:v>
                </c:pt>
                <c:pt idx="117">
                  <c:v>4.5999999999999996</c:v>
                </c:pt>
                <c:pt idx="118">
                  <c:v>5.0999999999999996</c:v>
                </c:pt>
                <c:pt idx="119">
                  <c:v>8</c:v>
                </c:pt>
                <c:pt idx="120">
                  <c:v>5</c:v>
                </c:pt>
                <c:pt idx="121">
                  <c:v>7</c:v>
                </c:pt>
                <c:pt idx="122">
                  <c:v>6.5</c:v>
                </c:pt>
                <c:pt idx="123">
                  <c:v>6.8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D3-405D-B73A-DB20D1ADC0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7905456"/>
        <c:axId val="337894896"/>
      </c:lineChart>
      <c:catAx>
        <c:axId val="337905456"/>
        <c:scaling>
          <c:orientation val="minMax"/>
        </c:scaling>
        <c:delete val="0"/>
        <c:axPos val="b"/>
        <c:numFmt formatCode="d\-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894896"/>
        <c:crosses val="autoZero"/>
        <c:auto val="0"/>
        <c:lblAlgn val="ctr"/>
        <c:lblOffset val="100"/>
        <c:tickLblSkip val="7"/>
        <c:noMultiLvlLbl val="1"/>
      </c:catAx>
      <c:valAx>
        <c:axId val="337894896"/>
        <c:scaling>
          <c:orientation val="minMax"/>
          <c:max val="2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905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6469816272965873E-2"/>
          <c:y val="0.14033389447934172"/>
          <c:w val="0.90297462817147855"/>
          <c:h val="0.60261403360535426"/>
        </c:manualLayout>
      </c:layout>
      <c:lineChart>
        <c:grouping val="standard"/>
        <c:varyColors val="0"/>
        <c:ser>
          <c:idx val="0"/>
          <c:order val="0"/>
          <c:tx>
            <c:strRef>
              <c:f>main!$G$5</c:f>
              <c:strCache>
                <c:ptCount val="1"/>
                <c:pt idx="0">
                  <c:v>Dinner (18:30)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movingAvg"/>
            <c:period val="7"/>
            <c:dispRSqr val="0"/>
            <c:dispEq val="0"/>
          </c:trendline>
          <c:cat>
            <c:numRef>
              <c:f>main!$A$6:$A$130</c:f>
              <c:numCache>
                <c:formatCode>d\-mmm\-yy</c:formatCode>
                <c:ptCount val="125"/>
                <c:pt idx="0">
                  <c:v>45463</c:v>
                </c:pt>
                <c:pt idx="1">
                  <c:v>45464</c:v>
                </c:pt>
                <c:pt idx="2">
                  <c:v>45465</c:v>
                </c:pt>
                <c:pt idx="3">
                  <c:v>45466</c:v>
                </c:pt>
                <c:pt idx="4">
                  <c:v>45467</c:v>
                </c:pt>
                <c:pt idx="5">
                  <c:v>45468</c:v>
                </c:pt>
                <c:pt idx="6">
                  <c:v>45469</c:v>
                </c:pt>
                <c:pt idx="7">
                  <c:v>45470</c:v>
                </c:pt>
                <c:pt idx="8">
                  <c:v>45471</c:v>
                </c:pt>
                <c:pt idx="9">
                  <c:v>45472</c:v>
                </c:pt>
                <c:pt idx="10">
                  <c:v>45473</c:v>
                </c:pt>
                <c:pt idx="11">
                  <c:v>45474</c:v>
                </c:pt>
                <c:pt idx="12">
                  <c:v>45475</c:v>
                </c:pt>
                <c:pt idx="13">
                  <c:v>45476</c:v>
                </c:pt>
                <c:pt idx="14">
                  <c:v>45477</c:v>
                </c:pt>
                <c:pt idx="15">
                  <c:v>45478</c:v>
                </c:pt>
                <c:pt idx="16">
                  <c:v>45479</c:v>
                </c:pt>
                <c:pt idx="17">
                  <c:v>45480</c:v>
                </c:pt>
                <c:pt idx="18">
                  <c:v>45481</c:v>
                </c:pt>
                <c:pt idx="19">
                  <c:v>45482</c:v>
                </c:pt>
                <c:pt idx="20">
                  <c:v>45483</c:v>
                </c:pt>
                <c:pt idx="21">
                  <c:v>45484</c:v>
                </c:pt>
                <c:pt idx="22">
                  <c:v>45485</c:v>
                </c:pt>
                <c:pt idx="23">
                  <c:v>45486</c:v>
                </c:pt>
                <c:pt idx="24">
                  <c:v>45487</c:v>
                </c:pt>
                <c:pt idx="25">
                  <c:v>45488</c:v>
                </c:pt>
                <c:pt idx="26">
                  <c:v>45489</c:v>
                </c:pt>
                <c:pt idx="27">
                  <c:v>45490</c:v>
                </c:pt>
                <c:pt idx="28">
                  <c:v>45491</c:v>
                </c:pt>
                <c:pt idx="29">
                  <c:v>45492</c:v>
                </c:pt>
                <c:pt idx="30">
                  <c:v>45493</c:v>
                </c:pt>
                <c:pt idx="31">
                  <c:v>45494</c:v>
                </c:pt>
                <c:pt idx="32">
                  <c:v>45495</c:v>
                </c:pt>
                <c:pt idx="33">
                  <c:v>45496</c:v>
                </c:pt>
                <c:pt idx="34">
                  <c:v>45497</c:v>
                </c:pt>
                <c:pt idx="35">
                  <c:v>45498</c:v>
                </c:pt>
                <c:pt idx="36">
                  <c:v>45499</c:v>
                </c:pt>
                <c:pt idx="37">
                  <c:v>45500</c:v>
                </c:pt>
                <c:pt idx="38">
                  <c:v>45501</c:v>
                </c:pt>
                <c:pt idx="39">
                  <c:v>45502</c:v>
                </c:pt>
                <c:pt idx="40">
                  <c:v>45503</c:v>
                </c:pt>
                <c:pt idx="41">
                  <c:v>45504</c:v>
                </c:pt>
                <c:pt idx="42">
                  <c:v>45505</c:v>
                </c:pt>
                <c:pt idx="43">
                  <c:v>45506</c:v>
                </c:pt>
                <c:pt idx="44">
                  <c:v>45507</c:v>
                </c:pt>
                <c:pt idx="45">
                  <c:v>45508</c:v>
                </c:pt>
                <c:pt idx="46">
                  <c:v>45509</c:v>
                </c:pt>
                <c:pt idx="47">
                  <c:v>45510</c:v>
                </c:pt>
                <c:pt idx="48">
                  <c:v>45511</c:v>
                </c:pt>
                <c:pt idx="49">
                  <c:v>45512</c:v>
                </c:pt>
                <c:pt idx="50">
                  <c:v>45513</c:v>
                </c:pt>
                <c:pt idx="51">
                  <c:v>45514</c:v>
                </c:pt>
                <c:pt idx="52">
                  <c:v>45515</c:v>
                </c:pt>
                <c:pt idx="53">
                  <c:v>45516</c:v>
                </c:pt>
                <c:pt idx="54">
                  <c:v>45517</c:v>
                </c:pt>
                <c:pt idx="55">
                  <c:v>45518</c:v>
                </c:pt>
                <c:pt idx="56">
                  <c:v>45519</c:v>
                </c:pt>
                <c:pt idx="57">
                  <c:v>45520</c:v>
                </c:pt>
                <c:pt idx="58">
                  <c:v>45521</c:v>
                </c:pt>
                <c:pt idx="59">
                  <c:v>45522</c:v>
                </c:pt>
                <c:pt idx="60">
                  <c:v>45523</c:v>
                </c:pt>
                <c:pt idx="61">
                  <c:v>45524</c:v>
                </c:pt>
                <c:pt idx="62">
                  <c:v>45525</c:v>
                </c:pt>
                <c:pt idx="63">
                  <c:v>45526</c:v>
                </c:pt>
                <c:pt idx="64">
                  <c:v>45527</c:v>
                </c:pt>
                <c:pt idx="65">
                  <c:v>45528</c:v>
                </c:pt>
                <c:pt idx="66">
                  <c:v>45529</c:v>
                </c:pt>
                <c:pt idx="67">
                  <c:v>45530</c:v>
                </c:pt>
                <c:pt idx="68">
                  <c:v>45531</c:v>
                </c:pt>
                <c:pt idx="69">
                  <c:v>45532</c:v>
                </c:pt>
                <c:pt idx="70">
                  <c:v>45533</c:v>
                </c:pt>
                <c:pt idx="71">
                  <c:v>45534</c:v>
                </c:pt>
                <c:pt idx="72">
                  <c:v>45535</c:v>
                </c:pt>
                <c:pt idx="73">
                  <c:v>45536</c:v>
                </c:pt>
                <c:pt idx="74">
                  <c:v>45537</c:v>
                </c:pt>
                <c:pt idx="75">
                  <c:v>45538</c:v>
                </c:pt>
                <c:pt idx="76">
                  <c:v>45539</c:v>
                </c:pt>
                <c:pt idx="77">
                  <c:v>45540</c:v>
                </c:pt>
                <c:pt idx="78">
                  <c:v>45541</c:v>
                </c:pt>
                <c:pt idx="79">
                  <c:v>45542</c:v>
                </c:pt>
                <c:pt idx="80">
                  <c:v>45543</c:v>
                </c:pt>
                <c:pt idx="81">
                  <c:v>45544</c:v>
                </c:pt>
                <c:pt idx="82">
                  <c:v>45545</c:v>
                </c:pt>
                <c:pt idx="83">
                  <c:v>45546</c:v>
                </c:pt>
                <c:pt idx="84">
                  <c:v>45547</c:v>
                </c:pt>
                <c:pt idx="85">
                  <c:v>45548</c:v>
                </c:pt>
                <c:pt idx="86">
                  <c:v>45549</c:v>
                </c:pt>
                <c:pt idx="87">
                  <c:v>45550</c:v>
                </c:pt>
                <c:pt idx="88">
                  <c:v>45551</c:v>
                </c:pt>
                <c:pt idx="89">
                  <c:v>45552</c:v>
                </c:pt>
                <c:pt idx="90">
                  <c:v>45553</c:v>
                </c:pt>
                <c:pt idx="91">
                  <c:v>45554</c:v>
                </c:pt>
                <c:pt idx="92">
                  <c:v>45555</c:v>
                </c:pt>
                <c:pt idx="93">
                  <c:v>45556</c:v>
                </c:pt>
                <c:pt idx="94">
                  <c:v>45557</c:v>
                </c:pt>
                <c:pt idx="95">
                  <c:v>45558</c:v>
                </c:pt>
                <c:pt idx="96">
                  <c:v>45559</c:v>
                </c:pt>
                <c:pt idx="97">
                  <c:v>45560</c:v>
                </c:pt>
                <c:pt idx="98">
                  <c:v>45561</c:v>
                </c:pt>
                <c:pt idx="99">
                  <c:v>45562</c:v>
                </c:pt>
                <c:pt idx="100">
                  <c:v>45563</c:v>
                </c:pt>
                <c:pt idx="101">
                  <c:v>45564</c:v>
                </c:pt>
                <c:pt idx="102">
                  <c:v>45565</c:v>
                </c:pt>
                <c:pt idx="103">
                  <c:v>45566</c:v>
                </c:pt>
                <c:pt idx="104">
                  <c:v>45567</c:v>
                </c:pt>
                <c:pt idx="105">
                  <c:v>45568</c:v>
                </c:pt>
                <c:pt idx="106">
                  <c:v>45569</c:v>
                </c:pt>
                <c:pt idx="107">
                  <c:v>45570</c:v>
                </c:pt>
                <c:pt idx="108">
                  <c:v>45571</c:v>
                </c:pt>
                <c:pt idx="109">
                  <c:v>45572</c:v>
                </c:pt>
                <c:pt idx="110">
                  <c:v>45573</c:v>
                </c:pt>
                <c:pt idx="111">
                  <c:v>45574</c:v>
                </c:pt>
                <c:pt idx="112">
                  <c:v>45575</c:v>
                </c:pt>
                <c:pt idx="113">
                  <c:v>45576</c:v>
                </c:pt>
                <c:pt idx="114">
                  <c:v>45577</c:v>
                </c:pt>
                <c:pt idx="115">
                  <c:v>45578</c:v>
                </c:pt>
                <c:pt idx="116">
                  <c:v>45579</c:v>
                </c:pt>
                <c:pt idx="117">
                  <c:v>45580</c:v>
                </c:pt>
                <c:pt idx="118">
                  <c:v>45581</c:v>
                </c:pt>
                <c:pt idx="119">
                  <c:v>45582</c:v>
                </c:pt>
                <c:pt idx="120">
                  <c:v>45583</c:v>
                </c:pt>
                <c:pt idx="121">
                  <c:v>45584</c:v>
                </c:pt>
                <c:pt idx="122">
                  <c:v>45585</c:v>
                </c:pt>
                <c:pt idx="123">
                  <c:v>45586</c:v>
                </c:pt>
                <c:pt idx="124">
                  <c:v>45587</c:v>
                </c:pt>
              </c:numCache>
            </c:numRef>
          </c:cat>
          <c:val>
            <c:numRef>
              <c:f>main!$G$6:$G$130</c:f>
              <c:numCache>
                <c:formatCode>General</c:formatCode>
                <c:ptCount val="125"/>
                <c:pt idx="0">
                  <c:v>16.5</c:v>
                </c:pt>
                <c:pt idx="1">
                  <c:v>16.2</c:v>
                </c:pt>
                <c:pt idx="2">
                  <c:v>16.7</c:v>
                </c:pt>
                <c:pt idx="3">
                  <c:v>16.8</c:v>
                </c:pt>
                <c:pt idx="4">
                  <c:v>19</c:v>
                </c:pt>
                <c:pt idx="5">
                  <c:v>14.9</c:v>
                </c:pt>
                <c:pt idx="6">
                  <c:v>18.3</c:v>
                </c:pt>
                <c:pt idx="7">
                  <c:v>15</c:v>
                </c:pt>
                <c:pt idx="8">
                  <c:v>13.3</c:v>
                </c:pt>
                <c:pt idx="9">
                  <c:v>15.4</c:v>
                </c:pt>
                <c:pt idx="10">
                  <c:v>14.5</c:v>
                </c:pt>
                <c:pt idx="11">
                  <c:v>12.9</c:v>
                </c:pt>
                <c:pt idx="12">
                  <c:v>15.4</c:v>
                </c:pt>
                <c:pt idx="13">
                  <c:v>10.8</c:v>
                </c:pt>
                <c:pt idx="14">
                  <c:v>12.2</c:v>
                </c:pt>
                <c:pt idx="15">
                  <c:v>9</c:v>
                </c:pt>
                <c:pt idx="16">
                  <c:v>9</c:v>
                </c:pt>
                <c:pt idx="17">
                  <c:v>7.9</c:v>
                </c:pt>
                <c:pt idx="18">
                  <c:v>8.4</c:v>
                </c:pt>
                <c:pt idx="19">
                  <c:v>9</c:v>
                </c:pt>
                <c:pt idx="20">
                  <c:v>4.9000000000000004</c:v>
                </c:pt>
                <c:pt idx="21">
                  <c:v>8.3000000000000007</c:v>
                </c:pt>
                <c:pt idx="22">
                  <c:v>5.4</c:v>
                </c:pt>
                <c:pt idx="23">
                  <c:v>7.4</c:v>
                </c:pt>
                <c:pt idx="24">
                  <c:v>7.5</c:v>
                </c:pt>
                <c:pt idx="25">
                  <c:v>5.3</c:v>
                </c:pt>
                <c:pt idx="26">
                  <c:v>4.9000000000000004</c:v>
                </c:pt>
                <c:pt idx="27">
                  <c:v>4.0999999999999996</c:v>
                </c:pt>
                <c:pt idx="28">
                  <c:v>7.2</c:v>
                </c:pt>
                <c:pt idx="29">
                  <c:v>4.9000000000000004</c:v>
                </c:pt>
                <c:pt idx="30">
                  <c:v>4.8</c:v>
                </c:pt>
                <c:pt idx="31">
                  <c:v>4.5</c:v>
                </c:pt>
                <c:pt idx="32">
                  <c:v>4.3</c:v>
                </c:pt>
                <c:pt idx="33">
                  <c:v>6.9</c:v>
                </c:pt>
                <c:pt idx="34">
                  <c:v>3.8</c:v>
                </c:pt>
                <c:pt idx="35">
                  <c:v>4.2</c:v>
                </c:pt>
                <c:pt idx="36">
                  <c:v>5.3</c:v>
                </c:pt>
                <c:pt idx="37">
                  <c:v>6.4</c:v>
                </c:pt>
                <c:pt idx="38">
                  <c:v>5.7</c:v>
                </c:pt>
                <c:pt idx="39">
                  <c:v>6.3</c:v>
                </c:pt>
                <c:pt idx="40">
                  <c:v>4.9000000000000004</c:v>
                </c:pt>
                <c:pt idx="41">
                  <c:v>4.8</c:v>
                </c:pt>
                <c:pt idx="42">
                  <c:v>4.9000000000000004</c:v>
                </c:pt>
                <c:pt idx="43">
                  <c:v>5</c:v>
                </c:pt>
                <c:pt idx="44">
                  <c:v>7</c:v>
                </c:pt>
                <c:pt idx="45">
                  <c:v>4.5999999999999996</c:v>
                </c:pt>
                <c:pt idx="46">
                  <c:v>5.9</c:v>
                </c:pt>
                <c:pt idx="47">
                  <c:v>4.3</c:v>
                </c:pt>
                <c:pt idx="48">
                  <c:v>3.8</c:v>
                </c:pt>
                <c:pt idx="49">
                  <c:v>5.8</c:v>
                </c:pt>
                <c:pt idx="50">
                  <c:v>8.5</c:v>
                </c:pt>
                <c:pt idx="51">
                  <c:v>6.3</c:v>
                </c:pt>
                <c:pt idx="52">
                  <c:v>5.7</c:v>
                </c:pt>
                <c:pt idx="53">
                  <c:v>6</c:v>
                </c:pt>
                <c:pt idx="54">
                  <c:v>8.6999999999999993</c:v>
                </c:pt>
                <c:pt idx="55">
                  <c:v>5.3</c:v>
                </c:pt>
                <c:pt idx="56">
                  <c:v>7.9</c:v>
                </c:pt>
                <c:pt idx="57">
                  <c:v>7.5</c:v>
                </c:pt>
                <c:pt idx="58">
                  <c:v>8.4</c:v>
                </c:pt>
                <c:pt idx="59">
                  <c:v>9.9</c:v>
                </c:pt>
                <c:pt idx="60">
                  <c:v>5.3</c:v>
                </c:pt>
                <c:pt idx="61">
                  <c:v>6.2</c:v>
                </c:pt>
                <c:pt idx="62">
                  <c:v>7.3</c:v>
                </c:pt>
                <c:pt idx="63">
                  <c:v>4.3</c:v>
                </c:pt>
                <c:pt idx="64">
                  <c:v>6.1</c:v>
                </c:pt>
                <c:pt idx="65">
                  <c:v>6.4</c:v>
                </c:pt>
                <c:pt idx="66">
                  <c:v>8.1999999999999993</c:v>
                </c:pt>
                <c:pt idx="67">
                  <c:v>5.9</c:v>
                </c:pt>
                <c:pt idx="68">
                  <c:v>7.2</c:v>
                </c:pt>
                <c:pt idx="69">
                  <c:v>11.3</c:v>
                </c:pt>
                <c:pt idx="70">
                  <c:v>10.6</c:v>
                </c:pt>
                <c:pt idx="71">
                  <c:v>11.3</c:v>
                </c:pt>
                <c:pt idx="72">
                  <c:v>5</c:v>
                </c:pt>
                <c:pt idx="73">
                  <c:v>4.9000000000000004</c:v>
                </c:pt>
                <c:pt idx="74">
                  <c:v>5.8</c:v>
                </c:pt>
                <c:pt idx="75">
                  <c:v>5.4</c:v>
                </c:pt>
                <c:pt idx="76">
                  <c:v>6.7</c:v>
                </c:pt>
                <c:pt idx="77">
                  <c:v>3.8</c:v>
                </c:pt>
                <c:pt idx="78">
                  <c:v>6.2</c:v>
                </c:pt>
                <c:pt idx="79">
                  <c:v>5.8</c:v>
                </c:pt>
                <c:pt idx="80">
                  <c:v>4.5</c:v>
                </c:pt>
                <c:pt idx="81">
                  <c:v>5.4</c:v>
                </c:pt>
                <c:pt idx="82">
                  <c:v>5.6</c:v>
                </c:pt>
                <c:pt idx="83">
                  <c:v>6.4</c:v>
                </c:pt>
                <c:pt idx="84">
                  <c:v>7.1</c:v>
                </c:pt>
                <c:pt idx="85">
                  <c:v>5.2</c:v>
                </c:pt>
                <c:pt idx="86">
                  <c:v>4.9000000000000004</c:v>
                </c:pt>
                <c:pt idx="87">
                  <c:v>6.1</c:v>
                </c:pt>
                <c:pt idx="88">
                  <c:v>4.4000000000000004</c:v>
                </c:pt>
                <c:pt idx="89">
                  <c:v>5</c:v>
                </c:pt>
                <c:pt idx="90">
                  <c:v>6.6</c:v>
                </c:pt>
                <c:pt idx="91">
                  <c:v>6.1</c:v>
                </c:pt>
                <c:pt idx="92">
                  <c:v>5.9</c:v>
                </c:pt>
                <c:pt idx="93">
                  <c:v>4.9000000000000004</c:v>
                </c:pt>
                <c:pt idx="94">
                  <c:v>6.9</c:v>
                </c:pt>
                <c:pt idx="95">
                  <c:v>5.2</c:v>
                </c:pt>
                <c:pt idx="96">
                  <c:v>6.1</c:v>
                </c:pt>
                <c:pt idx="97">
                  <c:v>7.1</c:v>
                </c:pt>
                <c:pt idx="98">
                  <c:v>5.2</c:v>
                </c:pt>
                <c:pt idx="99">
                  <c:v>7.9</c:v>
                </c:pt>
                <c:pt idx="100">
                  <c:v>6</c:v>
                </c:pt>
                <c:pt idx="101">
                  <c:v>8.3000000000000007</c:v>
                </c:pt>
                <c:pt idx="102">
                  <c:v>6.1</c:v>
                </c:pt>
                <c:pt idx="103">
                  <c:v>5.3</c:v>
                </c:pt>
                <c:pt idx="104">
                  <c:v>7</c:v>
                </c:pt>
                <c:pt idx="105">
                  <c:v>7.4</c:v>
                </c:pt>
                <c:pt idx="106">
                  <c:v>9</c:v>
                </c:pt>
                <c:pt idx="107">
                  <c:v>7.1</c:v>
                </c:pt>
                <c:pt idx="108">
                  <c:v>6.2</c:v>
                </c:pt>
                <c:pt idx="109">
                  <c:v>5.2</c:v>
                </c:pt>
                <c:pt idx="110">
                  <c:v>5.9</c:v>
                </c:pt>
                <c:pt idx="111">
                  <c:v>4.5999999999999996</c:v>
                </c:pt>
                <c:pt idx="112">
                  <c:v>4.5999999999999996</c:v>
                </c:pt>
                <c:pt idx="113">
                  <c:v>8.4</c:v>
                </c:pt>
                <c:pt idx="114">
                  <c:v>7.7</c:v>
                </c:pt>
                <c:pt idx="115">
                  <c:v>5.2</c:v>
                </c:pt>
                <c:pt idx="116">
                  <c:v>5.0999999999999996</c:v>
                </c:pt>
                <c:pt idx="117">
                  <c:v>4.8</c:v>
                </c:pt>
                <c:pt idx="118">
                  <c:v>8</c:v>
                </c:pt>
                <c:pt idx="119">
                  <c:v>6.3</c:v>
                </c:pt>
                <c:pt idx="120">
                  <c:v>6.7</c:v>
                </c:pt>
                <c:pt idx="121">
                  <c:v>9.6</c:v>
                </c:pt>
                <c:pt idx="122">
                  <c:v>7.5</c:v>
                </c:pt>
                <c:pt idx="123">
                  <c:v>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E0-4F1C-85AA-550E1FED11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7912656"/>
        <c:axId val="337913136"/>
      </c:lineChart>
      <c:dateAx>
        <c:axId val="337912656"/>
        <c:scaling>
          <c:orientation val="minMax"/>
        </c:scaling>
        <c:delete val="0"/>
        <c:axPos val="b"/>
        <c:numFmt formatCode="d\-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913136"/>
        <c:crosses val="autoZero"/>
        <c:auto val="1"/>
        <c:lblOffset val="100"/>
        <c:baseTimeUnit val="days"/>
        <c:majorUnit val="7"/>
        <c:majorTimeUnit val="days"/>
      </c:dateAx>
      <c:valAx>
        <c:axId val="33791313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912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6210724318273091"/>
          <c:y val="1.2562391562820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6469816272965873E-2"/>
          <c:y val="0.11987192295594062"/>
          <c:w val="0.90297462817147855"/>
          <c:h val="0.78205536552602795"/>
        </c:manualLayout>
      </c:layout>
      <c:lineChart>
        <c:grouping val="standard"/>
        <c:varyColors val="0"/>
        <c:ser>
          <c:idx val="0"/>
          <c:order val="0"/>
          <c:tx>
            <c:strRef>
              <c:f>main!$H$5</c:f>
              <c:strCache>
                <c:ptCount val="1"/>
                <c:pt idx="0">
                  <c:v>BedTime (21:45)</c:v>
                </c:pt>
              </c:strCache>
            </c:strRef>
          </c:tx>
          <c:spPr>
            <a:ln w="28575" cap="rnd">
              <a:solidFill>
                <a:schemeClr val="tx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movingAvg"/>
            <c:period val="7"/>
            <c:dispRSqr val="0"/>
            <c:dispEq val="0"/>
          </c:trendline>
          <c:cat>
            <c:numRef>
              <c:f>main!$A$6:$A$130</c:f>
              <c:numCache>
                <c:formatCode>d\-mmm\-yy</c:formatCode>
                <c:ptCount val="125"/>
                <c:pt idx="0">
                  <c:v>45463</c:v>
                </c:pt>
                <c:pt idx="1">
                  <c:v>45464</c:v>
                </c:pt>
                <c:pt idx="2">
                  <c:v>45465</c:v>
                </c:pt>
                <c:pt idx="3">
                  <c:v>45466</c:v>
                </c:pt>
                <c:pt idx="4">
                  <c:v>45467</c:v>
                </c:pt>
                <c:pt idx="5">
                  <c:v>45468</c:v>
                </c:pt>
                <c:pt idx="6">
                  <c:v>45469</c:v>
                </c:pt>
                <c:pt idx="7">
                  <c:v>45470</c:v>
                </c:pt>
                <c:pt idx="8">
                  <c:v>45471</c:v>
                </c:pt>
                <c:pt idx="9">
                  <c:v>45472</c:v>
                </c:pt>
                <c:pt idx="10">
                  <c:v>45473</c:v>
                </c:pt>
                <c:pt idx="11">
                  <c:v>45474</c:v>
                </c:pt>
                <c:pt idx="12">
                  <c:v>45475</c:v>
                </c:pt>
                <c:pt idx="13">
                  <c:v>45476</c:v>
                </c:pt>
                <c:pt idx="14">
                  <c:v>45477</c:v>
                </c:pt>
                <c:pt idx="15">
                  <c:v>45478</c:v>
                </c:pt>
                <c:pt idx="16">
                  <c:v>45479</c:v>
                </c:pt>
                <c:pt idx="17">
                  <c:v>45480</c:v>
                </c:pt>
                <c:pt idx="18">
                  <c:v>45481</c:v>
                </c:pt>
                <c:pt idx="19">
                  <c:v>45482</c:v>
                </c:pt>
                <c:pt idx="20">
                  <c:v>45483</c:v>
                </c:pt>
                <c:pt idx="21">
                  <c:v>45484</c:v>
                </c:pt>
                <c:pt idx="22">
                  <c:v>45485</c:v>
                </c:pt>
                <c:pt idx="23">
                  <c:v>45486</c:v>
                </c:pt>
                <c:pt idx="24">
                  <c:v>45487</c:v>
                </c:pt>
                <c:pt idx="25">
                  <c:v>45488</c:v>
                </c:pt>
                <c:pt idx="26">
                  <c:v>45489</c:v>
                </c:pt>
                <c:pt idx="27">
                  <c:v>45490</c:v>
                </c:pt>
                <c:pt idx="28">
                  <c:v>45491</c:v>
                </c:pt>
                <c:pt idx="29">
                  <c:v>45492</c:v>
                </c:pt>
                <c:pt idx="30">
                  <c:v>45493</c:v>
                </c:pt>
                <c:pt idx="31">
                  <c:v>45494</c:v>
                </c:pt>
                <c:pt idx="32">
                  <c:v>45495</c:v>
                </c:pt>
                <c:pt idx="33">
                  <c:v>45496</c:v>
                </c:pt>
                <c:pt idx="34">
                  <c:v>45497</c:v>
                </c:pt>
                <c:pt idx="35">
                  <c:v>45498</c:v>
                </c:pt>
                <c:pt idx="36">
                  <c:v>45499</c:v>
                </c:pt>
                <c:pt idx="37">
                  <c:v>45500</c:v>
                </c:pt>
                <c:pt idx="38">
                  <c:v>45501</c:v>
                </c:pt>
                <c:pt idx="39">
                  <c:v>45502</c:v>
                </c:pt>
                <c:pt idx="40">
                  <c:v>45503</c:v>
                </c:pt>
                <c:pt idx="41">
                  <c:v>45504</c:v>
                </c:pt>
                <c:pt idx="42">
                  <c:v>45505</c:v>
                </c:pt>
                <c:pt idx="43">
                  <c:v>45506</c:v>
                </c:pt>
                <c:pt idx="44">
                  <c:v>45507</c:v>
                </c:pt>
                <c:pt idx="45">
                  <c:v>45508</c:v>
                </c:pt>
                <c:pt idx="46">
                  <c:v>45509</c:v>
                </c:pt>
                <c:pt idx="47">
                  <c:v>45510</c:v>
                </c:pt>
                <c:pt idx="48">
                  <c:v>45511</c:v>
                </c:pt>
                <c:pt idx="49">
                  <c:v>45512</c:v>
                </c:pt>
                <c:pt idx="50">
                  <c:v>45513</c:v>
                </c:pt>
                <c:pt idx="51">
                  <c:v>45514</c:v>
                </c:pt>
                <c:pt idx="52">
                  <c:v>45515</c:v>
                </c:pt>
                <c:pt idx="53">
                  <c:v>45516</c:v>
                </c:pt>
                <c:pt idx="54">
                  <c:v>45517</c:v>
                </c:pt>
                <c:pt idx="55">
                  <c:v>45518</c:v>
                </c:pt>
                <c:pt idx="56">
                  <c:v>45519</c:v>
                </c:pt>
                <c:pt idx="57">
                  <c:v>45520</c:v>
                </c:pt>
                <c:pt idx="58">
                  <c:v>45521</c:v>
                </c:pt>
                <c:pt idx="59">
                  <c:v>45522</c:v>
                </c:pt>
                <c:pt idx="60">
                  <c:v>45523</c:v>
                </c:pt>
                <c:pt idx="61">
                  <c:v>45524</c:v>
                </c:pt>
                <c:pt idx="62">
                  <c:v>45525</c:v>
                </c:pt>
                <c:pt idx="63">
                  <c:v>45526</c:v>
                </c:pt>
                <c:pt idx="64">
                  <c:v>45527</c:v>
                </c:pt>
                <c:pt idx="65">
                  <c:v>45528</c:v>
                </c:pt>
                <c:pt idx="66">
                  <c:v>45529</c:v>
                </c:pt>
                <c:pt idx="67">
                  <c:v>45530</c:v>
                </c:pt>
                <c:pt idx="68">
                  <c:v>45531</c:v>
                </c:pt>
                <c:pt idx="69">
                  <c:v>45532</c:v>
                </c:pt>
                <c:pt idx="70">
                  <c:v>45533</c:v>
                </c:pt>
                <c:pt idx="71">
                  <c:v>45534</c:v>
                </c:pt>
                <c:pt idx="72">
                  <c:v>45535</c:v>
                </c:pt>
                <c:pt idx="73">
                  <c:v>45536</c:v>
                </c:pt>
                <c:pt idx="74">
                  <c:v>45537</c:v>
                </c:pt>
                <c:pt idx="75">
                  <c:v>45538</c:v>
                </c:pt>
                <c:pt idx="76">
                  <c:v>45539</c:v>
                </c:pt>
                <c:pt idx="77">
                  <c:v>45540</c:v>
                </c:pt>
                <c:pt idx="78">
                  <c:v>45541</c:v>
                </c:pt>
                <c:pt idx="79">
                  <c:v>45542</c:v>
                </c:pt>
                <c:pt idx="80">
                  <c:v>45543</c:v>
                </c:pt>
                <c:pt idx="81">
                  <c:v>45544</c:v>
                </c:pt>
                <c:pt idx="82">
                  <c:v>45545</c:v>
                </c:pt>
                <c:pt idx="83">
                  <c:v>45546</c:v>
                </c:pt>
                <c:pt idx="84">
                  <c:v>45547</c:v>
                </c:pt>
                <c:pt idx="85">
                  <c:v>45548</c:v>
                </c:pt>
                <c:pt idx="86">
                  <c:v>45549</c:v>
                </c:pt>
                <c:pt idx="87">
                  <c:v>45550</c:v>
                </c:pt>
                <c:pt idx="88">
                  <c:v>45551</c:v>
                </c:pt>
                <c:pt idx="89">
                  <c:v>45552</c:v>
                </c:pt>
                <c:pt idx="90">
                  <c:v>45553</c:v>
                </c:pt>
                <c:pt idx="91">
                  <c:v>45554</c:v>
                </c:pt>
                <c:pt idx="92">
                  <c:v>45555</c:v>
                </c:pt>
                <c:pt idx="93">
                  <c:v>45556</c:v>
                </c:pt>
                <c:pt idx="94">
                  <c:v>45557</c:v>
                </c:pt>
                <c:pt idx="95">
                  <c:v>45558</c:v>
                </c:pt>
                <c:pt idx="96">
                  <c:v>45559</c:v>
                </c:pt>
                <c:pt idx="97">
                  <c:v>45560</c:v>
                </c:pt>
                <c:pt idx="98">
                  <c:v>45561</c:v>
                </c:pt>
                <c:pt idx="99">
                  <c:v>45562</c:v>
                </c:pt>
                <c:pt idx="100">
                  <c:v>45563</c:v>
                </c:pt>
                <c:pt idx="101">
                  <c:v>45564</c:v>
                </c:pt>
                <c:pt idx="102">
                  <c:v>45565</c:v>
                </c:pt>
                <c:pt idx="103">
                  <c:v>45566</c:v>
                </c:pt>
                <c:pt idx="104">
                  <c:v>45567</c:v>
                </c:pt>
                <c:pt idx="105">
                  <c:v>45568</c:v>
                </c:pt>
                <c:pt idx="106">
                  <c:v>45569</c:v>
                </c:pt>
                <c:pt idx="107">
                  <c:v>45570</c:v>
                </c:pt>
                <c:pt idx="108">
                  <c:v>45571</c:v>
                </c:pt>
                <c:pt idx="109">
                  <c:v>45572</c:v>
                </c:pt>
                <c:pt idx="110">
                  <c:v>45573</c:v>
                </c:pt>
                <c:pt idx="111">
                  <c:v>45574</c:v>
                </c:pt>
                <c:pt idx="112">
                  <c:v>45575</c:v>
                </c:pt>
                <c:pt idx="113">
                  <c:v>45576</c:v>
                </c:pt>
                <c:pt idx="114">
                  <c:v>45577</c:v>
                </c:pt>
                <c:pt idx="115">
                  <c:v>45578</c:v>
                </c:pt>
                <c:pt idx="116">
                  <c:v>45579</c:v>
                </c:pt>
                <c:pt idx="117">
                  <c:v>45580</c:v>
                </c:pt>
                <c:pt idx="118">
                  <c:v>45581</c:v>
                </c:pt>
                <c:pt idx="119">
                  <c:v>45582</c:v>
                </c:pt>
                <c:pt idx="120">
                  <c:v>45583</c:v>
                </c:pt>
                <c:pt idx="121">
                  <c:v>45584</c:v>
                </c:pt>
                <c:pt idx="122">
                  <c:v>45585</c:v>
                </c:pt>
                <c:pt idx="123">
                  <c:v>45586</c:v>
                </c:pt>
                <c:pt idx="124">
                  <c:v>45587</c:v>
                </c:pt>
              </c:numCache>
            </c:numRef>
          </c:cat>
          <c:val>
            <c:numRef>
              <c:f>main!$H$6:$H$130</c:f>
              <c:numCache>
                <c:formatCode>General</c:formatCode>
                <c:ptCount val="125"/>
                <c:pt idx="3">
                  <c:v>14.2</c:v>
                </c:pt>
                <c:pt idx="4">
                  <c:v>12.1</c:v>
                </c:pt>
                <c:pt idx="5">
                  <c:v>11.3</c:v>
                </c:pt>
                <c:pt idx="6">
                  <c:v>9.5</c:v>
                </c:pt>
                <c:pt idx="7">
                  <c:v>9.6999999999999993</c:v>
                </c:pt>
                <c:pt idx="8">
                  <c:v>11.3</c:v>
                </c:pt>
                <c:pt idx="9">
                  <c:v>10.8</c:v>
                </c:pt>
                <c:pt idx="10">
                  <c:v>7.3</c:v>
                </c:pt>
                <c:pt idx="11">
                  <c:v>7.7</c:v>
                </c:pt>
                <c:pt idx="12">
                  <c:v>6.8</c:v>
                </c:pt>
                <c:pt idx="13">
                  <c:v>6</c:v>
                </c:pt>
                <c:pt idx="14">
                  <c:v>5.5</c:v>
                </c:pt>
                <c:pt idx="15">
                  <c:v>8.3000000000000007</c:v>
                </c:pt>
                <c:pt idx="16">
                  <c:v>5.6</c:v>
                </c:pt>
                <c:pt idx="17">
                  <c:v>6.9</c:v>
                </c:pt>
                <c:pt idx="18">
                  <c:v>5.2</c:v>
                </c:pt>
                <c:pt idx="19">
                  <c:v>5.8</c:v>
                </c:pt>
                <c:pt idx="20">
                  <c:v>7.7</c:v>
                </c:pt>
                <c:pt idx="21">
                  <c:v>6.8</c:v>
                </c:pt>
                <c:pt idx="22">
                  <c:v>8.3000000000000007</c:v>
                </c:pt>
                <c:pt idx="23">
                  <c:v>4.5999999999999996</c:v>
                </c:pt>
                <c:pt idx="24">
                  <c:v>5.9</c:v>
                </c:pt>
                <c:pt idx="25">
                  <c:v>7.3</c:v>
                </c:pt>
                <c:pt idx="26">
                  <c:v>4.4000000000000004</c:v>
                </c:pt>
                <c:pt idx="27">
                  <c:v>6.1</c:v>
                </c:pt>
                <c:pt idx="28">
                  <c:v>7.7</c:v>
                </c:pt>
                <c:pt idx="29">
                  <c:v>6.5</c:v>
                </c:pt>
                <c:pt idx="30">
                  <c:v>7.4</c:v>
                </c:pt>
                <c:pt idx="31">
                  <c:v>5.5</c:v>
                </c:pt>
                <c:pt idx="32">
                  <c:v>4.5999999999999996</c:v>
                </c:pt>
                <c:pt idx="33">
                  <c:v>6</c:v>
                </c:pt>
                <c:pt idx="34">
                  <c:v>5</c:v>
                </c:pt>
                <c:pt idx="35">
                  <c:v>5.0999999999999996</c:v>
                </c:pt>
                <c:pt idx="36">
                  <c:v>7.4</c:v>
                </c:pt>
                <c:pt idx="37">
                  <c:v>5.4</c:v>
                </c:pt>
                <c:pt idx="38">
                  <c:v>5.3</c:v>
                </c:pt>
                <c:pt idx="39">
                  <c:v>4.5999999999999996</c:v>
                </c:pt>
                <c:pt idx="40">
                  <c:v>6.5</c:v>
                </c:pt>
                <c:pt idx="41">
                  <c:v>4.7</c:v>
                </c:pt>
                <c:pt idx="42">
                  <c:v>6.8</c:v>
                </c:pt>
                <c:pt idx="43">
                  <c:v>4.0999999999999996</c:v>
                </c:pt>
                <c:pt idx="44">
                  <c:v>5.7</c:v>
                </c:pt>
                <c:pt idx="45">
                  <c:v>5.6</c:v>
                </c:pt>
                <c:pt idx="46">
                  <c:v>5.7</c:v>
                </c:pt>
                <c:pt idx="47">
                  <c:v>4.7</c:v>
                </c:pt>
                <c:pt idx="48">
                  <c:v>6.7</c:v>
                </c:pt>
                <c:pt idx="49">
                  <c:v>5</c:v>
                </c:pt>
                <c:pt idx="50">
                  <c:v>8</c:v>
                </c:pt>
                <c:pt idx="51">
                  <c:v>6.3</c:v>
                </c:pt>
                <c:pt idx="52">
                  <c:v>5.0999999999999996</c:v>
                </c:pt>
                <c:pt idx="53">
                  <c:v>6.3</c:v>
                </c:pt>
                <c:pt idx="54">
                  <c:v>4.2</c:v>
                </c:pt>
                <c:pt idx="55">
                  <c:v>10.5</c:v>
                </c:pt>
                <c:pt idx="56">
                  <c:v>6.6</c:v>
                </c:pt>
                <c:pt idx="57">
                  <c:v>7.9</c:v>
                </c:pt>
                <c:pt idx="58">
                  <c:v>5</c:v>
                </c:pt>
                <c:pt idx="59">
                  <c:v>6.3</c:v>
                </c:pt>
                <c:pt idx="60">
                  <c:v>6.9</c:v>
                </c:pt>
                <c:pt idx="61">
                  <c:v>6.5</c:v>
                </c:pt>
                <c:pt idx="62">
                  <c:v>6.8</c:v>
                </c:pt>
                <c:pt idx="63">
                  <c:v>3.9</c:v>
                </c:pt>
                <c:pt idx="64">
                  <c:v>6.4</c:v>
                </c:pt>
                <c:pt idx="65">
                  <c:v>7.7</c:v>
                </c:pt>
                <c:pt idx="66">
                  <c:v>7.7</c:v>
                </c:pt>
                <c:pt idx="67">
                  <c:v>4</c:v>
                </c:pt>
                <c:pt idx="68">
                  <c:v>4.0999999999999996</c:v>
                </c:pt>
                <c:pt idx="69">
                  <c:v>10.8</c:v>
                </c:pt>
                <c:pt idx="70">
                  <c:v>3.8</c:v>
                </c:pt>
                <c:pt idx="71">
                  <c:v>4.9000000000000004</c:v>
                </c:pt>
                <c:pt idx="72">
                  <c:v>5.3</c:v>
                </c:pt>
                <c:pt idx="73">
                  <c:v>8.3000000000000007</c:v>
                </c:pt>
                <c:pt idx="74">
                  <c:v>7.8</c:v>
                </c:pt>
                <c:pt idx="75">
                  <c:v>6.8</c:v>
                </c:pt>
                <c:pt idx="76">
                  <c:v>6.2</c:v>
                </c:pt>
                <c:pt idx="77">
                  <c:v>5.0999999999999996</c:v>
                </c:pt>
                <c:pt idx="78">
                  <c:v>5.5</c:v>
                </c:pt>
                <c:pt idx="79">
                  <c:v>4.9000000000000004</c:v>
                </c:pt>
                <c:pt idx="80">
                  <c:v>7.1</c:v>
                </c:pt>
                <c:pt idx="81">
                  <c:v>5.8</c:v>
                </c:pt>
                <c:pt idx="82">
                  <c:v>5.9</c:v>
                </c:pt>
                <c:pt idx="83">
                  <c:v>7</c:v>
                </c:pt>
                <c:pt idx="84">
                  <c:v>6.5</c:v>
                </c:pt>
                <c:pt idx="85">
                  <c:v>5.4</c:v>
                </c:pt>
                <c:pt idx="86">
                  <c:v>7.6</c:v>
                </c:pt>
                <c:pt idx="87">
                  <c:v>7.1</c:v>
                </c:pt>
                <c:pt idx="88">
                  <c:v>9.9</c:v>
                </c:pt>
                <c:pt idx="89">
                  <c:v>7.8</c:v>
                </c:pt>
                <c:pt idx="90">
                  <c:v>11</c:v>
                </c:pt>
                <c:pt idx="91">
                  <c:v>6.3</c:v>
                </c:pt>
                <c:pt idx="92">
                  <c:v>4.9000000000000004</c:v>
                </c:pt>
                <c:pt idx="93">
                  <c:v>4.9000000000000004</c:v>
                </c:pt>
                <c:pt idx="94">
                  <c:v>6.9</c:v>
                </c:pt>
                <c:pt idx="95">
                  <c:v>6.9</c:v>
                </c:pt>
                <c:pt idx="96">
                  <c:v>6</c:v>
                </c:pt>
                <c:pt idx="97">
                  <c:v>5.3</c:v>
                </c:pt>
                <c:pt idx="98">
                  <c:v>5.5</c:v>
                </c:pt>
                <c:pt idx="99">
                  <c:v>5.7</c:v>
                </c:pt>
                <c:pt idx="100">
                  <c:v>7.7</c:v>
                </c:pt>
                <c:pt idx="101">
                  <c:v>5.0999999999999996</c:v>
                </c:pt>
                <c:pt idx="102">
                  <c:v>7.3</c:v>
                </c:pt>
                <c:pt idx="103">
                  <c:v>8.5</c:v>
                </c:pt>
                <c:pt idx="104">
                  <c:v>8.4</c:v>
                </c:pt>
                <c:pt idx="105">
                  <c:v>4.3</c:v>
                </c:pt>
                <c:pt idx="106">
                  <c:v>5.4</c:v>
                </c:pt>
                <c:pt idx="107">
                  <c:v>5</c:v>
                </c:pt>
                <c:pt idx="108">
                  <c:v>5.8</c:v>
                </c:pt>
                <c:pt idx="109">
                  <c:v>7.3</c:v>
                </c:pt>
                <c:pt idx="110">
                  <c:v>5</c:v>
                </c:pt>
                <c:pt idx="111">
                  <c:v>8</c:v>
                </c:pt>
                <c:pt idx="112">
                  <c:v>5.5</c:v>
                </c:pt>
                <c:pt idx="113">
                  <c:v>5</c:v>
                </c:pt>
                <c:pt idx="114">
                  <c:v>5</c:v>
                </c:pt>
                <c:pt idx="115">
                  <c:v>5.8</c:v>
                </c:pt>
                <c:pt idx="116">
                  <c:v>6.7</c:v>
                </c:pt>
                <c:pt idx="117">
                  <c:v>7</c:v>
                </c:pt>
                <c:pt idx="118">
                  <c:v>3.9</c:v>
                </c:pt>
                <c:pt idx="119">
                  <c:v>3.1</c:v>
                </c:pt>
                <c:pt idx="120">
                  <c:v>8</c:v>
                </c:pt>
                <c:pt idx="121">
                  <c:v>5.6</c:v>
                </c:pt>
                <c:pt idx="122">
                  <c:v>7</c:v>
                </c:pt>
                <c:pt idx="123">
                  <c:v>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5D-4F0B-8A9F-C2AE16ECA3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5528799"/>
        <c:axId val="1875530239"/>
      </c:lineChart>
      <c:dateAx>
        <c:axId val="1875528799"/>
        <c:scaling>
          <c:orientation val="minMax"/>
          <c:min val="45466"/>
        </c:scaling>
        <c:delete val="0"/>
        <c:axPos val="b"/>
        <c:numFmt formatCode="d\-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5530239"/>
        <c:crosses val="autoZero"/>
        <c:auto val="1"/>
        <c:lblOffset val="100"/>
        <c:baseTimeUnit val="days"/>
        <c:majorUnit val="7"/>
        <c:majorTimeUnit val="days"/>
      </c:dateAx>
      <c:valAx>
        <c:axId val="1875530239"/>
        <c:scaling>
          <c:orientation val="minMax"/>
          <c:max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5528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Daily</a:t>
            </a:r>
            <a:r>
              <a:rPr lang="en-ZA" baseline="0"/>
              <a:t> Insulin Dosages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260588717388555E-2"/>
          <c:y val="9.7001031699882515E-2"/>
          <c:w val="0.90117641264562198"/>
          <c:h val="0.71780154710594535"/>
        </c:manualLayout>
      </c:layout>
      <c:lineChart>
        <c:grouping val="standard"/>
        <c:varyColors val="0"/>
        <c:ser>
          <c:idx val="0"/>
          <c:order val="0"/>
          <c:tx>
            <c:strRef>
              <c:f>main!$I$5</c:f>
              <c:strCache>
                <c:ptCount val="1"/>
                <c:pt idx="0">
                  <c:v>Insulin AM</c:v>
                </c:pt>
              </c:strCache>
            </c:strRef>
          </c:tx>
          <c:spPr>
            <a:ln w="28575" cap="rnd">
              <a:solidFill>
                <a:schemeClr val="accent4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4">
                    <a:lumMod val="40000"/>
                    <a:lumOff val="60000"/>
                  </a:schemeClr>
                </a:solidFill>
              </a:ln>
              <a:effectLst/>
            </c:spPr>
          </c:marker>
          <c:cat>
            <c:numRef>
              <c:f>main!$A$6:$A$130</c:f>
              <c:numCache>
                <c:formatCode>d\-mmm\-yy</c:formatCode>
                <c:ptCount val="125"/>
                <c:pt idx="0">
                  <c:v>45463</c:v>
                </c:pt>
                <c:pt idx="1">
                  <c:v>45464</c:v>
                </c:pt>
                <c:pt idx="2">
                  <c:v>45465</c:v>
                </c:pt>
                <c:pt idx="3">
                  <c:v>45466</c:v>
                </c:pt>
                <c:pt idx="4">
                  <c:v>45467</c:v>
                </c:pt>
                <c:pt idx="5">
                  <c:v>45468</c:v>
                </c:pt>
                <c:pt idx="6">
                  <c:v>45469</c:v>
                </c:pt>
                <c:pt idx="7">
                  <c:v>45470</c:v>
                </c:pt>
                <c:pt idx="8">
                  <c:v>45471</c:v>
                </c:pt>
                <c:pt idx="9">
                  <c:v>45472</c:v>
                </c:pt>
                <c:pt idx="10">
                  <c:v>45473</c:v>
                </c:pt>
                <c:pt idx="11">
                  <c:v>45474</c:v>
                </c:pt>
                <c:pt idx="12">
                  <c:v>45475</c:v>
                </c:pt>
                <c:pt idx="13">
                  <c:v>45476</c:v>
                </c:pt>
                <c:pt idx="14">
                  <c:v>45477</c:v>
                </c:pt>
                <c:pt idx="15">
                  <c:v>45478</c:v>
                </c:pt>
                <c:pt idx="16">
                  <c:v>45479</c:v>
                </c:pt>
                <c:pt idx="17">
                  <c:v>45480</c:v>
                </c:pt>
                <c:pt idx="18">
                  <c:v>45481</c:v>
                </c:pt>
                <c:pt idx="19">
                  <c:v>45482</c:v>
                </c:pt>
                <c:pt idx="20">
                  <c:v>45483</c:v>
                </c:pt>
                <c:pt idx="21">
                  <c:v>45484</c:v>
                </c:pt>
                <c:pt idx="22">
                  <c:v>45485</c:v>
                </c:pt>
                <c:pt idx="23">
                  <c:v>45486</c:v>
                </c:pt>
                <c:pt idx="24">
                  <c:v>45487</c:v>
                </c:pt>
                <c:pt idx="25">
                  <c:v>45488</c:v>
                </c:pt>
                <c:pt idx="26">
                  <c:v>45489</c:v>
                </c:pt>
                <c:pt idx="27">
                  <c:v>45490</c:v>
                </c:pt>
                <c:pt idx="28">
                  <c:v>45491</c:v>
                </c:pt>
                <c:pt idx="29">
                  <c:v>45492</c:v>
                </c:pt>
                <c:pt idx="30">
                  <c:v>45493</c:v>
                </c:pt>
                <c:pt idx="31">
                  <c:v>45494</c:v>
                </c:pt>
                <c:pt idx="32">
                  <c:v>45495</c:v>
                </c:pt>
                <c:pt idx="33">
                  <c:v>45496</c:v>
                </c:pt>
                <c:pt idx="34">
                  <c:v>45497</c:v>
                </c:pt>
                <c:pt idx="35">
                  <c:v>45498</c:v>
                </c:pt>
                <c:pt idx="36">
                  <c:v>45499</c:v>
                </c:pt>
                <c:pt idx="37">
                  <c:v>45500</c:v>
                </c:pt>
                <c:pt idx="38">
                  <c:v>45501</c:v>
                </c:pt>
                <c:pt idx="39">
                  <c:v>45502</c:v>
                </c:pt>
                <c:pt idx="40">
                  <c:v>45503</c:v>
                </c:pt>
                <c:pt idx="41">
                  <c:v>45504</c:v>
                </c:pt>
                <c:pt idx="42">
                  <c:v>45505</c:v>
                </c:pt>
                <c:pt idx="43">
                  <c:v>45506</c:v>
                </c:pt>
                <c:pt idx="44">
                  <c:v>45507</c:v>
                </c:pt>
                <c:pt idx="45">
                  <c:v>45508</c:v>
                </c:pt>
                <c:pt idx="46">
                  <c:v>45509</c:v>
                </c:pt>
                <c:pt idx="47">
                  <c:v>45510</c:v>
                </c:pt>
                <c:pt idx="48">
                  <c:v>45511</c:v>
                </c:pt>
                <c:pt idx="49">
                  <c:v>45512</c:v>
                </c:pt>
                <c:pt idx="50">
                  <c:v>45513</c:v>
                </c:pt>
                <c:pt idx="51">
                  <c:v>45514</c:v>
                </c:pt>
                <c:pt idx="52">
                  <c:v>45515</c:v>
                </c:pt>
                <c:pt idx="53">
                  <c:v>45516</c:v>
                </c:pt>
                <c:pt idx="54">
                  <c:v>45517</c:v>
                </c:pt>
                <c:pt idx="55">
                  <c:v>45518</c:v>
                </c:pt>
                <c:pt idx="56">
                  <c:v>45519</c:v>
                </c:pt>
                <c:pt idx="57">
                  <c:v>45520</c:v>
                </c:pt>
                <c:pt idx="58">
                  <c:v>45521</c:v>
                </c:pt>
                <c:pt idx="59">
                  <c:v>45522</c:v>
                </c:pt>
                <c:pt idx="60">
                  <c:v>45523</c:v>
                </c:pt>
                <c:pt idx="61">
                  <c:v>45524</c:v>
                </c:pt>
                <c:pt idx="62">
                  <c:v>45525</c:v>
                </c:pt>
                <c:pt idx="63">
                  <c:v>45526</c:v>
                </c:pt>
                <c:pt idx="64">
                  <c:v>45527</c:v>
                </c:pt>
                <c:pt idx="65">
                  <c:v>45528</c:v>
                </c:pt>
                <c:pt idx="66">
                  <c:v>45529</c:v>
                </c:pt>
                <c:pt idx="67">
                  <c:v>45530</c:v>
                </c:pt>
                <c:pt idx="68">
                  <c:v>45531</c:v>
                </c:pt>
                <c:pt idx="69">
                  <c:v>45532</c:v>
                </c:pt>
                <c:pt idx="70">
                  <c:v>45533</c:v>
                </c:pt>
                <c:pt idx="71">
                  <c:v>45534</c:v>
                </c:pt>
                <c:pt idx="72">
                  <c:v>45535</c:v>
                </c:pt>
                <c:pt idx="73">
                  <c:v>45536</c:v>
                </c:pt>
                <c:pt idx="74">
                  <c:v>45537</c:v>
                </c:pt>
                <c:pt idx="75">
                  <c:v>45538</c:v>
                </c:pt>
                <c:pt idx="76">
                  <c:v>45539</c:v>
                </c:pt>
                <c:pt idx="77">
                  <c:v>45540</c:v>
                </c:pt>
                <c:pt idx="78">
                  <c:v>45541</c:v>
                </c:pt>
                <c:pt idx="79">
                  <c:v>45542</c:v>
                </c:pt>
                <c:pt idx="80">
                  <c:v>45543</c:v>
                </c:pt>
                <c:pt idx="81">
                  <c:v>45544</c:v>
                </c:pt>
                <c:pt idx="82">
                  <c:v>45545</c:v>
                </c:pt>
                <c:pt idx="83">
                  <c:v>45546</c:v>
                </c:pt>
                <c:pt idx="84">
                  <c:v>45547</c:v>
                </c:pt>
                <c:pt idx="85">
                  <c:v>45548</c:v>
                </c:pt>
                <c:pt idx="86">
                  <c:v>45549</c:v>
                </c:pt>
                <c:pt idx="87">
                  <c:v>45550</c:v>
                </c:pt>
                <c:pt idx="88">
                  <c:v>45551</c:v>
                </c:pt>
                <c:pt idx="89">
                  <c:v>45552</c:v>
                </c:pt>
                <c:pt idx="90">
                  <c:v>45553</c:v>
                </c:pt>
                <c:pt idx="91">
                  <c:v>45554</c:v>
                </c:pt>
                <c:pt idx="92">
                  <c:v>45555</c:v>
                </c:pt>
                <c:pt idx="93">
                  <c:v>45556</c:v>
                </c:pt>
                <c:pt idx="94">
                  <c:v>45557</c:v>
                </c:pt>
                <c:pt idx="95">
                  <c:v>45558</c:v>
                </c:pt>
                <c:pt idx="96">
                  <c:v>45559</c:v>
                </c:pt>
                <c:pt idx="97">
                  <c:v>45560</c:v>
                </c:pt>
                <c:pt idx="98">
                  <c:v>45561</c:v>
                </c:pt>
                <c:pt idx="99">
                  <c:v>45562</c:v>
                </c:pt>
                <c:pt idx="100">
                  <c:v>45563</c:v>
                </c:pt>
                <c:pt idx="101">
                  <c:v>45564</c:v>
                </c:pt>
                <c:pt idx="102">
                  <c:v>45565</c:v>
                </c:pt>
                <c:pt idx="103">
                  <c:v>45566</c:v>
                </c:pt>
                <c:pt idx="104">
                  <c:v>45567</c:v>
                </c:pt>
                <c:pt idx="105">
                  <c:v>45568</c:v>
                </c:pt>
                <c:pt idx="106">
                  <c:v>45569</c:v>
                </c:pt>
                <c:pt idx="107">
                  <c:v>45570</c:v>
                </c:pt>
                <c:pt idx="108">
                  <c:v>45571</c:v>
                </c:pt>
                <c:pt idx="109">
                  <c:v>45572</c:v>
                </c:pt>
                <c:pt idx="110">
                  <c:v>45573</c:v>
                </c:pt>
                <c:pt idx="111">
                  <c:v>45574</c:v>
                </c:pt>
                <c:pt idx="112">
                  <c:v>45575</c:v>
                </c:pt>
                <c:pt idx="113">
                  <c:v>45576</c:v>
                </c:pt>
                <c:pt idx="114">
                  <c:v>45577</c:v>
                </c:pt>
                <c:pt idx="115">
                  <c:v>45578</c:v>
                </c:pt>
                <c:pt idx="116">
                  <c:v>45579</c:v>
                </c:pt>
                <c:pt idx="117">
                  <c:v>45580</c:v>
                </c:pt>
                <c:pt idx="118">
                  <c:v>45581</c:v>
                </c:pt>
                <c:pt idx="119">
                  <c:v>45582</c:v>
                </c:pt>
                <c:pt idx="120">
                  <c:v>45583</c:v>
                </c:pt>
                <c:pt idx="121">
                  <c:v>45584</c:v>
                </c:pt>
                <c:pt idx="122">
                  <c:v>45585</c:v>
                </c:pt>
                <c:pt idx="123">
                  <c:v>45586</c:v>
                </c:pt>
                <c:pt idx="124">
                  <c:v>45587</c:v>
                </c:pt>
              </c:numCache>
            </c:numRef>
          </c:cat>
          <c:val>
            <c:numRef>
              <c:f>main!$I$6:$I$130</c:f>
              <c:numCache>
                <c:formatCode>General</c:formatCode>
                <c:ptCount val="125"/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8</c:v>
                </c:pt>
                <c:pt idx="16">
                  <c:v>8</c:v>
                </c:pt>
                <c:pt idx="17">
                  <c:v>8</c:v>
                </c:pt>
                <c:pt idx="18">
                  <c:v>8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10</c:v>
                </c:pt>
                <c:pt idx="27">
                  <c:v>10</c:v>
                </c:pt>
                <c:pt idx="28">
                  <c:v>10</c:v>
                </c:pt>
                <c:pt idx="29">
                  <c:v>10</c:v>
                </c:pt>
                <c:pt idx="30">
                  <c:v>10</c:v>
                </c:pt>
                <c:pt idx="31">
                  <c:v>10</c:v>
                </c:pt>
                <c:pt idx="32">
                  <c:v>10</c:v>
                </c:pt>
                <c:pt idx="33">
                  <c:v>10</c:v>
                </c:pt>
                <c:pt idx="34">
                  <c:v>10</c:v>
                </c:pt>
                <c:pt idx="35">
                  <c:v>10</c:v>
                </c:pt>
                <c:pt idx="36">
                  <c:v>10</c:v>
                </c:pt>
                <c:pt idx="37">
                  <c:v>10</c:v>
                </c:pt>
                <c:pt idx="38">
                  <c:v>10</c:v>
                </c:pt>
                <c:pt idx="39">
                  <c:v>10</c:v>
                </c:pt>
                <c:pt idx="40">
                  <c:v>10</c:v>
                </c:pt>
                <c:pt idx="41">
                  <c:v>10</c:v>
                </c:pt>
                <c:pt idx="42">
                  <c:v>10</c:v>
                </c:pt>
                <c:pt idx="43">
                  <c:v>10</c:v>
                </c:pt>
                <c:pt idx="44">
                  <c:v>10</c:v>
                </c:pt>
                <c:pt idx="45">
                  <c:v>10</c:v>
                </c:pt>
                <c:pt idx="46">
                  <c:v>10</c:v>
                </c:pt>
                <c:pt idx="47">
                  <c:v>10</c:v>
                </c:pt>
                <c:pt idx="48">
                  <c:v>10</c:v>
                </c:pt>
                <c:pt idx="49">
                  <c:v>10</c:v>
                </c:pt>
                <c:pt idx="50">
                  <c:v>10</c:v>
                </c:pt>
                <c:pt idx="51">
                  <c:v>10</c:v>
                </c:pt>
                <c:pt idx="52">
                  <c:v>10</c:v>
                </c:pt>
                <c:pt idx="53">
                  <c:v>10</c:v>
                </c:pt>
                <c:pt idx="54">
                  <c:v>10</c:v>
                </c:pt>
                <c:pt idx="55">
                  <c:v>10</c:v>
                </c:pt>
                <c:pt idx="56">
                  <c:v>10</c:v>
                </c:pt>
                <c:pt idx="57">
                  <c:v>10</c:v>
                </c:pt>
                <c:pt idx="58">
                  <c:v>10</c:v>
                </c:pt>
                <c:pt idx="59">
                  <c:v>10</c:v>
                </c:pt>
                <c:pt idx="60">
                  <c:v>10</c:v>
                </c:pt>
                <c:pt idx="61">
                  <c:v>10</c:v>
                </c:pt>
                <c:pt idx="62">
                  <c:v>10</c:v>
                </c:pt>
                <c:pt idx="63">
                  <c:v>10</c:v>
                </c:pt>
                <c:pt idx="64">
                  <c:v>10</c:v>
                </c:pt>
                <c:pt idx="65">
                  <c:v>10</c:v>
                </c:pt>
                <c:pt idx="66">
                  <c:v>10</c:v>
                </c:pt>
                <c:pt idx="67">
                  <c:v>10</c:v>
                </c:pt>
                <c:pt idx="68">
                  <c:v>10</c:v>
                </c:pt>
                <c:pt idx="69">
                  <c:v>10</c:v>
                </c:pt>
                <c:pt idx="70">
                  <c:v>10</c:v>
                </c:pt>
                <c:pt idx="71">
                  <c:v>10</c:v>
                </c:pt>
                <c:pt idx="72">
                  <c:v>10</c:v>
                </c:pt>
                <c:pt idx="73">
                  <c:v>10</c:v>
                </c:pt>
                <c:pt idx="74">
                  <c:v>10</c:v>
                </c:pt>
                <c:pt idx="75">
                  <c:v>10</c:v>
                </c:pt>
                <c:pt idx="76">
                  <c:v>10</c:v>
                </c:pt>
                <c:pt idx="77">
                  <c:v>10</c:v>
                </c:pt>
                <c:pt idx="78">
                  <c:v>10</c:v>
                </c:pt>
                <c:pt idx="79">
                  <c:v>0</c:v>
                </c:pt>
                <c:pt idx="80">
                  <c:v>10</c:v>
                </c:pt>
                <c:pt idx="81">
                  <c:v>10</c:v>
                </c:pt>
                <c:pt idx="82">
                  <c:v>10</c:v>
                </c:pt>
                <c:pt idx="83">
                  <c:v>10</c:v>
                </c:pt>
                <c:pt idx="84">
                  <c:v>10</c:v>
                </c:pt>
                <c:pt idx="85">
                  <c:v>10</c:v>
                </c:pt>
                <c:pt idx="86">
                  <c:v>10</c:v>
                </c:pt>
                <c:pt idx="87">
                  <c:v>10</c:v>
                </c:pt>
                <c:pt idx="88">
                  <c:v>10</c:v>
                </c:pt>
                <c:pt idx="89">
                  <c:v>10</c:v>
                </c:pt>
                <c:pt idx="90">
                  <c:v>10</c:v>
                </c:pt>
                <c:pt idx="91">
                  <c:v>10</c:v>
                </c:pt>
                <c:pt idx="92">
                  <c:v>10</c:v>
                </c:pt>
                <c:pt idx="93">
                  <c:v>10</c:v>
                </c:pt>
                <c:pt idx="94">
                  <c:v>10</c:v>
                </c:pt>
                <c:pt idx="95">
                  <c:v>10</c:v>
                </c:pt>
                <c:pt idx="96">
                  <c:v>10</c:v>
                </c:pt>
                <c:pt idx="97">
                  <c:v>10</c:v>
                </c:pt>
                <c:pt idx="98">
                  <c:v>10</c:v>
                </c:pt>
                <c:pt idx="99">
                  <c:v>10</c:v>
                </c:pt>
                <c:pt idx="100">
                  <c:v>10</c:v>
                </c:pt>
                <c:pt idx="101">
                  <c:v>10</c:v>
                </c:pt>
                <c:pt idx="102">
                  <c:v>10</c:v>
                </c:pt>
                <c:pt idx="103">
                  <c:v>10</c:v>
                </c:pt>
                <c:pt idx="104">
                  <c:v>10</c:v>
                </c:pt>
                <c:pt idx="105">
                  <c:v>10</c:v>
                </c:pt>
                <c:pt idx="106">
                  <c:v>10</c:v>
                </c:pt>
                <c:pt idx="107">
                  <c:v>10</c:v>
                </c:pt>
                <c:pt idx="108">
                  <c:v>10</c:v>
                </c:pt>
                <c:pt idx="109">
                  <c:v>10</c:v>
                </c:pt>
                <c:pt idx="110">
                  <c:v>10</c:v>
                </c:pt>
                <c:pt idx="111">
                  <c:v>10</c:v>
                </c:pt>
                <c:pt idx="112">
                  <c:v>10</c:v>
                </c:pt>
                <c:pt idx="113">
                  <c:v>10</c:v>
                </c:pt>
                <c:pt idx="114">
                  <c:v>10</c:v>
                </c:pt>
                <c:pt idx="115">
                  <c:v>10</c:v>
                </c:pt>
                <c:pt idx="116">
                  <c:v>10</c:v>
                </c:pt>
                <c:pt idx="117">
                  <c:v>10</c:v>
                </c:pt>
                <c:pt idx="118">
                  <c:v>10</c:v>
                </c:pt>
                <c:pt idx="119">
                  <c:v>10</c:v>
                </c:pt>
                <c:pt idx="120">
                  <c:v>10</c:v>
                </c:pt>
                <c:pt idx="121">
                  <c:v>10</c:v>
                </c:pt>
                <c:pt idx="122">
                  <c:v>10</c:v>
                </c:pt>
                <c:pt idx="123">
                  <c:v>10</c:v>
                </c:pt>
                <c:pt idx="124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E1-4090-853C-1CC6872F225E}"/>
            </c:ext>
          </c:extLst>
        </c:ser>
        <c:ser>
          <c:idx val="1"/>
          <c:order val="1"/>
          <c:tx>
            <c:strRef>
              <c:f>main!$J$5</c:f>
              <c:strCache>
                <c:ptCount val="1"/>
                <c:pt idx="0">
                  <c:v>Insulin PM</c:v>
                </c:pt>
              </c:strCache>
            </c:strRef>
          </c:tx>
          <c:spPr>
            <a:ln w="28575" cap="rnd">
              <a:solidFill>
                <a:schemeClr val="tx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tx1"/>
              </a:solidFill>
              <a:ln w="9525">
                <a:solidFill>
                  <a:schemeClr val="tx2">
                    <a:lumMod val="50000"/>
                    <a:lumOff val="50000"/>
                  </a:schemeClr>
                </a:solidFill>
              </a:ln>
              <a:effectLst/>
            </c:spPr>
          </c:marker>
          <c:cat>
            <c:numRef>
              <c:f>main!$A$6:$A$130</c:f>
              <c:numCache>
                <c:formatCode>d\-mmm\-yy</c:formatCode>
                <c:ptCount val="125"/>
                <c:pt idx="0">
                  <c:v>45463</c:v>
                </c:pt>
                <c:pt idx="1">
                  <c:v>45464</c:v>
                </c:pt>
                <c:pt idx="2">
                  <c:v>45465</c:v>
                </c:pt>
                <c:pt idx="3">
                  <c:v>45466</c:v>
                </c:pt>
                <c:pt idx="4">
                  <c:v>45467</c:v>
                </c:pt>
                <c:pt idx="5">
                  <c:v>45468</c:v>
                </c:pt>
                <c:pt idx="6">
                  <c:v>45469</c:v>
                </c:pt>
                <c:pt idx="7">
                  <c:v>45470</c:v>
                </c:pt>
                <c:pt idx="8">
                  <c:v>45471</c:v>
                </c:pt>
                <c:pt idx="9">
                  <c:v>45472</c:v>
                </c:pt>
                <c:pt idx="10">
                  <c:v>45473</c:v>
                </c:pt>
                <c:pt idx="11">
                  <c:v>45474</c:v>
                </c:pt>
                <c:pt idx="12">
                  <c:v>45475</c:v>
                </c:pt>
                <c:pt idx="13">
                  <c:v>45476</c:v>
                </c:pt>
                <c:pt idx="14">
                  <c:v>45477</c:v>
                </c:pt>
                <c:pt idx="15">
                  <c:v>45478</c:v>
                </c:pt>
                <c:pt idx="16">
                  <c:v>45479</c:v>
                </c:pt>
                <c:pt idx="17">
                  <c:v>45480</c:v>
                </c:pt>
                <c:pt idx="18">
                  <c:v>45481</c:v>
                </c:pt>
                <c:pt idx="19">
                  <c:v>45482</c:v>
                </c:pt>
                <c:pt idx="20">
                  <c:v>45483</c:v>
                </c:pt>
                <c:pt idx="21">
                  <c:v>45484</c:v>
                </c:pt>
                <c:pt idx="22">
                  <c:v>45485</c:v>
                </c:pt>
                <c:pt idx="23">
                  <c:v>45486</c:v>
                </c:pt>
                <c:pt idx="24">
                  <c:v>45487</c:v>
                </c:pt>
                <c:pt idx="25">
                  <c:v>45488</c:v>
                </c:pt>
                <c:pt idx="26">
                  <c:v>45489</c:v>
                </c:pt>
                <c:pt idx="27">
                  <c:v>45490</c:v>
                </c:pt>
                <c:pt idx="28">
                  <c:v>45491</c:v>
                </c:pt>
                <c:pt idx="29">
                  <c:v>45492</c:v>
                </c:pt>
                <c:pt idx="30">
                  <c:v>45493</c:v>
                </c:pt>
                <c:pt idx="31">
                  <c:v>45494</c:v>
                </c:pt>
                <c:pt idx="32">
                  <c:v>45495</c:v>
                </c:pt>
                <c:pt idx="33">
                  <c:v>45496</c:v>
                </c:pt>
                <c:pt idx="34">
                  <c:v>45497</c:v>
                </c:pt>
                <c:pt idx="35">
                  <c:v>45498</c:v>
                </c:pt>
                <c:pt idx="36">
                  <c:v>45499</c:v>
                </c:pt>
                <c:pt idx="37">
                  <c:v>45500</c:v>
                </c:pt>
                <c:pt idx="38">
                  <c:v>45501</c:v>
                </c:pt>
                <c:pt idx="39">
                  <c:v>45502</c:v>
                </c:pt>
                <c:pt idx="40">
                  <c:v>45503</c:v>
                </c:pt>
                <c:pt idx="41">
                  <c:v>45504</c:v>
                </c:pt>
                <c:pt idx="42">
                  <c:v>45505</c:v>
                </c:pt>
                <c:pt idx="43">
                  <c:v>45506</c:v>
                </c:pt>
                <c:pt idx="44">
                  <c:v>45507</c:v>
                </c:pt>
                <c:pt idx="45">
                  <c:v>45508</c:v>
                </c:pt>
                <c:pt idx="46">
                  <c:v>45509</c:v>
                </c:pt>
                <c:pt idx="47">
                  <c:v>45510</c:v>
                </c:pt>
                <c:pt idx="48">
                  <c:v>45511</c:v>
                </c:pt>
                <c:pt idx="49">
                  <c:v>45512</c:v>
                </c:pt>
                <c:pt idx="50">
                  <c:v>45513</c:v>
                </c:pt>
                <c:pt idx="51">
                  <c:v>45514</c:v>
                </c:pt>
                <c:pt idx="52">
                  <c:v>45515</c:v>
                </c:pt>
                <c:pt idx="53">
                  <c:v>45516</c:v>
                </c:pt>
                <c:pt idx="54">
                  <c:v>45517</c:v>
                </c:pt>
                <c:pt idx="55">
                  <c:v>45518</c:v>
                </c:pt>
                <c:pt idx="56">
                  <c:v>45519</c:v>
                </c:pt>
                <c:pt idx="57">
                  <c:v>45520</c:v>
                </c:pt>
                <c:pt idx="58">
                  <c:v>45521</c:v>
                </c:pt>
                <c:pt idx="59">
                  <c:v>45522</c:v>
                </c:pt>
                <c:pt idx="60">
                  <c:v>45523</c:v>
                </c:pt>
                <c:pt idx="61">
                  <c:v>45524</c:v>
                </c:pt>
                <c:pt idx="62">
                  <c:v>45525</c:v>
                </c:pt>
                <c:pt idx="63">
                  <c:v>45526</c:v>
                </c:pt>
                <c:pt idx="64">
                  <c:v>45527</c:v>
                </c:pt>
                <c:pt idx="65">
                  <c:v>45528</c:v>
                </c:pt>
                <c:pt idx="66">
                  <c:v>45529</c:v>
                </c:pt>
                <c:pt idx="67">
                  <c:v>45530</c:v>
                </c:pt>
                <c:pt idx="68">
                  <c:v>45531</c:v>
                </c:pt>
                <c:pt idx="69">
                  <c:v>45532</c:v>
                </c:pt>
                <c:pt idx="70">
                  <c:v>45533</c:v>
                </c:pt>
                <c:pt idx="71">
                  <c:v>45534</c:v>
                </c:pt>
                <c:pt idx="72">
                  <c:v>45535</c:v>
                </c:pt>
                <c:pt idx="73">
                  <c:v>45536</c:v>
                </c:pt>
                <c:pt idx="74">
                  <c:v>45537</c:v>
                </c:pt>
                <c:pt idx="75">
                  <c:v>45538</c:v>
                </c:pt>
                <c:pt idx="76">
                  <c:v>45539</c:v>
                </c:pt>
                <c:pt idx="77">
                  <c:v>45540</c:v>
                </c:pt>
                <c:pt idx="78">
                  <c:v>45541</c:v>
                </c:pt>
                <c:pt idx="79">
                  <c:v>45542</c:v>
                </c:pt>
                <c:pt idx="80">
                  <c:v>45543</c:v>
                </c:pt>
                <c:pt idx="81">
                  <c:v>45544</c:v>
                </c:pt>
                <c:pt idx="82">
                  <c:v>45545</c:v>
                </c:pt>
                <c:pt idx="83">
                  <c:v>45546</c:v>
                </c:pt>
                <c:pt idx="84">
                  <c:v>45547</c:v>
                </c:pt>
                <c:pt idx="85">
                  <c:v>45548</c:v>
                </c:pt>
                <c:pt idx="86">
                  <c:v>45549</c:v>
                </c:pt>
                <c:pt idx="87">
                  <c:v>45550</c:v>
                </c:pt>
                <c:pt idx="88">
                  <c:v>45551</c:v>
                </c:pt>
                <c:pt idx="89">
                  <c:v>45552</c:v>
                </c:pt>
                <c:pt idx="90">
                  <c:v>45553</c:v>
                </c:pt>
                <c:pt idx="91">
                  <c:v>45554</c:v>
                </c:pt>
                <c:pt idx="92">
                  <c:v>45555</c:v>
                </c:pt>
                <c:pt idx="93">
                  <c:v>45556</c:v>
                </c:pt>
                <c:pt idx="94">
                  <c:v>45557</c:v>
                </c:pt>
                <c:pt idx="95">
                  <c:v>45558</c:v>
                </c:pt>
                <c:pt idx="96">
                  <c:v>45559</c:v>
                </c:pt>
                <c:pt idx="97">
                  <c:v>45560</c:v>
                </c:pt>
                <c:pt idx="98">
                  <c:v>45561</c:v>
                </c:pt>
                <c:pt idx="99">
                  <c:v>45562</c:v>
                </c:pt>
                <c:pt idx="100">
                  <c:v>45563</c:v>
                </c:pt>
                <c:pt idx="101">
                  <c:v>45564</c:v>
                </c:pt>
                <c:pt idx="102">
                  <c:v>45565</c:v>
                </c:pt>
                <c:pt idx="103">
                  <c:v>45566</c:v>
                </c:pt>
                <c:pt idx="104">
                  <c:v>45567</c:v>
                </c:pt>
                <c:pt idx="105">
                  <c:v>45568</c:v>
                </c:pt>
                <c:pt idx="106">
                  <c:v>45569</c:v>
                </c:pt>
                <c:pt idx="107">
                  <c:v>45570</c:v>
                </c:pt>
                <c:pt idx="108">
                  <c:v>45571</c:v>
                </c:pt>
                <c:pt idx="109">
                  <c:v>45572</c:v>
                </c:pt>
                <c:pt idx="110">
                  <c:v>45573</c:v>
                </c:pt>
                <c:pt idx="111">
                  <c:v>45574</c:v>
                </c:pt>
                <c:pt idx="112">
                  <c:v>45575</c:v>
                </c:pt>
                <c:pt idx="113">
                  <c:v>45576</c:v>
                </c:pt>
                <c:pt idx="114">
                  <c:v>45577</c:v>
                </c:pt>
                <c:pt idx="115">
                  <c:v>45578</c:v>
                </c:pt>
                <c:pt idx="116">
                  <c:v>45579</c:v>
                </c:pt>
                <c:pt idx="117">
                  <c:v>45580</c:v>
                </c:pt>
                <c:pt idx="118">
                  <c:v>45581</c:v>
                </c:pt>
                <c:pt idx="119">
                  <c:v>45582</c:v>
                </c:pt>
                <c:pt idx="120">
                  <c:v>45583</c:v>
                </c:pt>
                <c:pt idx="121">
                  <c:v>45584</c:v>
                </c:pt>
                <c:pt idx="122">
                  <c:v>45585</c:v>
                </c:pt>
                <c:pt idx="123">
                  <c:v>45586</c:v>
                </c:pt>
                <c:pt idx="124">
                  <c:v>45587</c:v>
                </c:pt>
              </c:numCache>
            </c:numRef>
          </c:cat>
          <c:val>
            <c:numRef>
              <c:f>main!$J$6:$J$130</c:f>
              <c:numCache>
                <c:formatCode>General</c:formatCode>
                <c:ptCount val="125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12</c:v>
                </c:pt>
                <c:pt idx="13">
                  <c:v>12</c:v>
                </c:pt>
                <c:pt idx="14">
                  <c:v>12</c:v>
                </c:pt>
                <c:pt idx="15">
                  <c:v>12</c:v>
                </c:pt>
                <c:pt idx="16">
                  <c:v>12</c:v>
                </c:pt>
                <c:pt idx="17">
                  <c:v>12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10</c:v>
                </c:pt>
                <c:pt idx="27">
                  <c:v>10</c:v>
                </c:pt>
                <c:pt idx="28">
                  <c:v>10</c:v>
                </c:pt>
                <c:pt idx="29">
                  <c:v>8</c:v>
                </c:pt>
                <c:pt idx="30">
                  <c:v>8</c:v>
                </c:pt>
                <c:pt idx="31">
                  <c:v>8</c:v>
                </c:pt>
                <c:pt idx="32">
                  <c:v>8</c:v>
                </c:pt>
                <c:pt idx="33">
                  <c:v>8</c:v>
                </c:pt>
                <c:pt idx="34">
                  <c:v>8</c:v>
                </c:pt>
                <c:pt idx="35">
                  <c:v>8</c:v>
                </c:pt>
                <c:pt idx="36">
                  <c:v>8</c:v>
                </c:pt>
                <c:pt idx="37">
                  <c:v>8</c:v>
                </c:pt>
                <c:pt idx="38">
                  <c:v>8</c:v>
                </c:pt>
                <c:pt idx="39">
                  <c:v>8</c:v>
                </c:pt>
                <c:pt idx="40">
                  <c:v>8</c:v>
                </c:pt>
                <c:pt idx="41">
                  <c:v>8</c:v>
                </c:pt>
                <c:pt idx="42">
                  <c:v>8</c:v>
                </c:pt>
                <c:pt idx="43">
                  <c:v>8</c:v>
                </c:pt>
                <c:pt idx="44">
                  <c:v>8</c:v>
                </c:pt>
                <c:pt idx="45">
                  <c:v>8</c:v>
                </c:pt>
                <c:pt idx="46">
                  <c:v>8</c:v>
                </c:pt>
                <c:pt idx="47">
                  <c:v>8</c:v>
                </c:pt>
                <c:pt idx="48">
                  <c:v>8</c:v>
                </c:pt>
                <c:pt idx="49">
                  <c:v>8</c:v>
                </c:pt>
                <c:pt idx="50">
                  <c:v>8</c:v>
                </c:pt>
                <c:pt idx="51">
                  <c:v>8</c:v>
                </c:pt>
                <c:pt idx="52">
                  <c:v>8</c:v>
                </c:pt>
                <c:pt idx="53">
                  <c:v>8</c:v>
                </c:pt>
                <c:pt idx="54">
                  <c:v>8</c:v>
                </c:pt>
                <c:pt idx="55">
                  <c:v>8</c:v>
                </c:pt>
                <c:pt idx="56">
                  <c:v>8</c:v>
                </c:pt>
                <c:pt idx="57">
                  <c:v>8</c:v>
                </c:pt>
                <c:pt idx="58">
                  <c:v>8</c:v>
                </c:pt>
                <c:pt idx="59">
                  <c:v>8</c:v>
                </c:pt>
                <c:pt idx="60">
                  <c:v>8</c:v>
                </c:pt>
                <c:pt idx="61">
                  <c:v>8</c:v>
                </c:pt>
                <c:pt idx="62">
                  <c:v>8</c:v>
                </c:pt>
                <c:pt idx="63">
                  <c:v>8</c:v>
                </c:pt>
                <c:pt idx="64">
                  <c:v>8</c:v>
                </c:pt>
                <c:pt idx="65">
                  <c:v>8</c:v>
                </c:pt>
                <c:pt idx="66">
                  <c:v>8</c:v>
                </c:pt>
                <c:pt idx="67">
                  <c:v>8</c:v>
                </c:pt>
                <c:pt idx="68">
                  <c:v>8</c:v>
                </c:pt>
                <c:pt idx="69">
                  <c:v>8</c:v>
                </c:pt>
                <c:pt idx="70">
                  <c:v>8</c:v>
                </c:pt>
                <c:pt idx="71">
                  <c:v>8</c:v>
                </c:pt>
                <c:pt idx="72">
                  <c:v>8</c:v>
                </c:pt>
                <c:pt idx="73">
                  <c:v>8</c:v>
                </c:pt>
                <c:pt idx="74">
                  <c:v>0</c:v>
                </c:pt>
                <c:pt idx="75">
                  <c:v>8</c:v>
                </c:pt>
                <c:pt idx="76">
                  <c:v>8</c:v>
                </c:pt>
                <c:pt idx="77">
                  <c:v>0</c:v>
                </c:pt>
                <c:pt idx="78">
                  <c:v>8</c:v>
                </c:pt>
                <c:pt idx="79">
                  <c:v>4</c:v>
                </c:pt>
                <c:pt idx="80">
                  <c:v>8</c:v>
                </c:pt>
                <c:pt idx="81">
                  <c:v>0</c:v>
                </c:pt>
                <c:pt idx="82">
                  <c:v>4</c:v>
                </c:pt>
                <c:pt idx="83">
                  <c:v>0</c:v>
                </c:pt>
                <c:pt idx="84">
                  <c:v>6</c:v>
                </c:pt>
                <c:pt idx="85">
                  <c:v>8</c:v>
                </c:pt>
                <c:pt idx="86">
                  <c:v>8</c:v>
                </c:pt>
                <c:pt idx="87">
                  <c:v>8</c:v>
                </c:pt>
                <c:pt idx="88">
                  <c:v>0</c:v>
                </c:pt>
                <c:pt idx="89">
                  <c:v>8</c:v>
                </c:pt>
                <c:pt idx="90">
                  <c:v>8</c:v>
                </c:pt>
                <c:pt idx="91">
                  <c:v>0</c:v>
                </c:pt>
                <c:pt idx="92">
                  <c:v>8</c:v>
                </c:pt>
                <c:pt idx="93">
                  <c:v>8</c:v>
                </c:pt>
                <c:pt idx="94">
                  <c:v>6</c:v>
                </c:pt>
                <c:pt idx="95">
                  <c:v>8</c:v>
                </c:pt>
                <c:pt idx="96">
                  <c:v>8</c:v>
                </c:pt>
                <c:pt idx="97">
                  <c:v>8</c:v>
                </c:pt>
                <c:pt idx="98">
                  <c:v>8</c:v>
                </c:pt>
                <c:pt idx="99">
                  <c:v>8</c:v>
                </c:pt>
                <c:pt idx="100">
                  <c:v>8</c:v>
                </c:pt>
                <c:pt idx="101">
                  <c:v>8</c:v>
                </c:pt>
                <c:pt idx="102">
                  <c:v>8</c:v>
                </c:pt>
                <c:pt idx="103">
                  <c:v>8</c:v>
                </c:pt>
                <c:pt idx="104">
                  <c:v>8</c:v>
                </c:pt>
                <c:pt idx="105">
                  <c:v>8</c:v>
                </c:pt>
                <c:pt idx="106">
                  <c:v>8</c:v>
                </c:pt>
                <c:pt idx="107">
                  <c:v>8</c:v>
                </c:pt>
                <c:pt idx="108">
                  <c:v>8</c:v>
                </c:pt>
                <c:pt idx="109">
                  <c:v>8</c:v>
                </c:pt>
                <c:pt idx="110">
                  <c:v>8</c:v>
                </c:pt>
                <c:pt idx="111">
                  <c:v>8</c:v>
                </c:pt>
                <c:pt idx="112">
                  <c:v>8</c:v>
                </c:pt>
                <c:pt idx="113">
                  <c:v>8</c:v>
                </c:pt>
                <c:pt idx="114">
                  <c:v>8</c:v>
                </c:pt>
                <c:pt idx="115">
                  <c:v>8</c:v>
                </c:pt>
                <c:pt idx="116">
                  <c:v>8</c:v>
                </c:pt>
                <c:pt idx="117">
                  <c:v>8</c:v>
                </c:pt>
                <c:pt idx="118">
                  <c:v>8</c:v>
                </c:pt>
                <c:pt idx="119">
                  <c:v>8</c:v>
                </c:pt>
                <c:pt idx="120">
                  <c:v>8</c:v>
                </c:pt>
                <c:pt idx="121">
                  <c:v>8</c:v>
                </c:pt>
                <c:pt idx="122">
                  <c:v>8</c:v>
                </c:pt>
                <c:pt idx="123">
                  <c:v>8</c:v>
                </c:pt>
                <c:pt idx="124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E1-4090-853C-1CC6872F225E}"/>
            </c:ext>
          </c:extLst>
        </c:ser>
        <c:ser>
          <c:idx val="2"/>
          <c:order val="2"/>
          <c:tx>
            <c:strRef>
              <c:f>main!$K$5</c:f>
              <c:strCache>
                <c:ptCount val="1"/>
                <c:pt idx="0">
                  <c:v>Daily Insulin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main!$A$6:$A$130</c:f>
              <c:numCache>
                <c:formatCode>d\-mmm\-yy</c:formatCode>
                <c:ptCount val="125"/>
                <c:pt idx="0">
                  <c:v>45463</c:v>
                </c:pt>
                <c:pt idx="1">
                  <c:v>45464</c:v>
                </c:pt>
                <c:pt idx="2">
                  <c:v>45465</c:v>
                </c:pt>
                <c:pt idx="3">
                  <c:v>45466</c:v>
                </c:pt>
                <c:pt idx="4">
                  <c:v>45467</c:v>
                </c:pt>
                <c:pt idx="5">
                  <c:v>45468</c:v>
                </c:pt>
                <c:pt idx="6">
                  <c:v>45469</c:v>
                </c:pt>
                <c:pt idx="7">
                  <c:v>45470</c:v>
                </c:pt>
                <c:pt idx="8">
                  <c:v>45471</c:v>
                </c:pt>
                <c:pt idx="9">
                  <c:v>45472</c:v>
                </c:pt>
                <c:pt idx="10">
                  <c:v>45473</c:v>
                </c:pt>
                <c:pt idx="11">
                  <c:v>45474</c:v>
                </c:pt>
                <c:pt idx="12">
                  <c:v>45475</c:v>
                </c:pt>
                <c:pt idx="13">
                  <c:v>45476</c:v>
                </c:pt>
                <c:pt idx="14">
                  <c:v>45477</c:v>
                </c:pt>
                <c:pt idx="15">
                  <c:v>45478</c:v>
                </c:pt>
                <c:pt idx="16">
                  <c:v>45479</c:v>
                </c:pt>
                <c:pt idx="17">
                  <c:v>45480</c:v>
                </c:pt>
                <c:pt idx="18">
                  <c:v>45481</c:v>
                </c:pt>
                <c:pt idx="19">
                  <c:v>45482</c:v>
                </c:pt>
                <c:pt idx="20">
                  <c:v>45483</c:v>
                </c:pt>
                <c:pt idx="21">
                  <c:v>45484</c:v>
                </c:pt>
                <c:pt idx="22">
                  <c:v>45485</c:v>
                </c:pt>
                <c:pt idx="23">
                  <c:v>45486</c:v>
                </c:pt>
                <c:pt idx="24">
                  <c:v>45487</c:v>
                </c:pt>
                <c:pt idx="25">
                  <c:v>45488</c:v>
                </c:pt>
                <c:pt idx="26">
                  <c:v>45489</c:v>
                </c:pt>
                <c:pt idx="27">
                  <c:v>45490</c:v>
                </c:pt>
                <c:pt idx="28">
                  <c:v>45491</c:v>
                </c:pt>
                <c:pt idx="29">
                  <c:v>45492</c:v>
                </c:pt>
                <c:pt idx="30">
                  <c:v>45493</c:v>
                </c:pt>
                <c:pt idx="31">
                  <c:v>45494</c:v>
                </c:pt>
                <c:pt idx="32">
                  <c:v>45495</c:v>
                </c:pt>
                <c:pt idx="33">
                  <c:v>45496</c:v>
                </c:pt>
                <c:pt idx="34">
                  <c:v>45497</c:v>
                </c:pt>
                <c:pt idx="35">
                  <c:v>45498</c:v>
                </c:pt>
                <c:pt idx="36">
                  <c:v>45499</c:v>
                </c:pt>
                <c:pt idx="37">
                  <c:v>45500</c:v>
                </c:pt>
                <c:pt idx="38">
                  <c:v>45501</c:v>
                </c:pt>
                <c:pt idx="39">
                  <c:v>45502</c:v>
                </c:pt>
                <c:pt idx="40">
                  <c:v>45503</c:v>
                </c:pt>
                <c:pt idx="41">
                  <c:v>45504</c:v>
                </c:pt>
                <c:pt idx="42">
                  <c:v>45505</c:v>
                </c:pt>
                <c:pt idx="43">
                  <c:v>45506</c:v>
                </c:pt>
                <c:pt idx="44">
                  <c:v>45507</c:v>
                </c:pt>
                <c:pt idx="45">
                  <c:v>45508</c:v>
                </c:pt>
                <c:pt idx="46">
                  <c:v>45509</c:v>
                </c:pt>
                <c:pt idx="47">
                  <c:v>45510</c:v>
                </c:pt>
                <c:pt idx="48">
                  <c:v>45511</c:v>
                </c:pt>
                <c:pt idx="49">
                  <c:v>45512</c:v>
                </c:pt>
                <c:pt idx="50">
                  <c:v>45513</c:v>
                </c:pt>
                <c:pt idx="51">
                  <c:v>45514</c:v>
                </c:pt>
                <c:pt idx="52">
                  <c:v>45515</c:v>
                </c:pt>
                <c:pt idx="53">
                  <c:v>45516</c:v>
                </c:pt>
                <c:pt idx="54">
                  <c:v>45517</c:v>
                </c:pt>
                <c:pt idx="55">
                  <c:v>45518</c:v>
                </c:pt>
                <c:pt idx="56">
                  <c:v>45519</c:v>
                </c:pt>
                <c:pt idx="57">
                  <c:v>45520</c:v>
                </c:pt>
                <c:pt idx="58">
                  <c:v>45521</c:v>
                </c:pt>
                <c:pt idx="59">
                  <c:v>45522</c:v>
                </c:pt>
                <c:pt idx="60">
                  <c:v>45523</c:v>
                </c:pt>
                <c:pt idx="61">
                  <c:v>45524</c:v>
                </c:pt>
                <c:pt idx="62">
                  <c:v>45525</c:v>
                </c:pt>
                <c:pt idx="63">
                  <c:v>45526</c:v>
                </c:pt>
                <c:pt idx="64">
                  <c:v>45527</c:v>
                </c:pt>
                <c:pt idx="65">
                  <c:v>45528</c:v>
                </c:pt>
                <c:pt idx="66">
                  <c:v>45529</c:v>
                </c:pt>
                <c:pt idx="67">
                  <c:v>45530</c:v>
                </c:pt>
                <c:pt idx="68">
                  <c:v>45531</c:v>
                </c:pt>
                <c:pt idx="69">
                  <c:v>45532</c:v>
                </c:pt>
                <c:pt idx="70">
                  <c:v>45533</c:v>
                </c:pt>
                <c:pt idx="71">
                  <c:v>45534</c:v>
                </c:pt>
                <c:pt idx="72">
                  <c:v>45535</c:v>
                </c:pt>
                <c:pt idx="73">
                  <c:v>45536</c:v>
                </c:pt>
                <c:pt idx="74">
                  <c:v>45537</c:v>
                </c:pt>
                <c:pt idx="75">
                  <c:v>45538</c:v>
                </c:pt>
                <c:pt idx="76">
                  <c:v>45539</c:v>
                </c:pt>
                <c:pt idx="77">
                  <c:v>45540</c:v>
                </c:pt>
                <c:pt idx="78">
                  <c:v>45541</c:v>
                </c:pt>
                <c:pt idx="79">
                  <c:v>45542</c:v>
                </c:pt>
                <c:pt idx="80">
                  <c:v>45543</c:v>
                </c:pt>
                <c:pt idx="81">
                  <c:v>45544</c:v>
                </c:pt>
                <c:pt idx="82">
                  <c:v>45545</c:v>
                </c:pt>
                <c:pt idx="83">
                  <c:v>45546</c:v>
                </c:pt>
                <c:pt idx="84">
                  <c:v>45547</c:v>
                </c:pt>
                <c:pt idx="85">
                  <c:v>45548</c:v>
                </c:pt>
                <c:pt idx="86">
                  <c:v>45549</c:v>
                </c:pt>
                <c:pt idx="87">
                  <c:v>45550</c:v>
                </c:pt>
                <c:pt idx="88">
                  <c:v>45551</c:v>
                </c:pt>
                <c:pt idx="89">
                  <c:v>45552</c:v>
                </c:pt>
                <c:pt idx="90">
                  <c:v>45553</c:v>
                </c:pt>
                <c:pt idx="91">
                  <c:v>45554</c:v>
                </c:pt>
                <c:pt idx="92">
                  <c:v>45555</c:v>
                </c:pt>
                <c:pt idx="93">
                  <c:v>45556</c:v>
                </c:pt>
                <c:pt idx="94">
                  <c:v>45557</c:v>
                </c:pt>
                <c:pt idx="95">
                  <c:v>45558</c:v>
                </c:pt>
                <c:pt idx="96">
                  <c:v>45559</c:v>
                </c:pt>
                <c:pt idx="97">
                  <c:v>45560</c:v>
                </c:pt>
                <c:pt idx="98">
                  <c:v>45561</c:v>
                </c:pt>
                <c:pt idx="99">
                  <c:v>45562</c:v>
                </c:pt>
                <c:pt idx="100">
                  <c:v>45563</c:v>
                </c:pt>
                <c:pt idx="101">
                  <c:v>45564</c:v>
                </c:pt>
                <c:pt idx="102">
                  <c:v>45565</c:v>
                </c:pt>
                <c:pt idx="103">
                  <c:v>45566</c:v>
                </c:pt>
                <c:pt idx="104">
                  <c:v>45567</c:v>
                </c:pt>
                <c:pt idx="105">
                  <c:v>45568</c:v>
                </c:pt>
                <c:pt idx="106">
                  <c:v>45569</c:v>
                </c:pt>
                <c:pt idx="107">
                  <c:v>45570</c:v>
                </c:pt>
                <c:pt idx="108">
                  <c:v>45571</c:v>
                </c:pt>
                <c:pt idx="109">
                  <c:v>45572</c:v>
                </c:pt>
                <c:pt idx="110">
                  <c:v>45573</c:v>
                </c:pt>
                <c:pt idx="111">
                  <c:v>45574</c:v>
                </c:pt>
                <c:pt idx="112">
                  <c:v>45575</c:v>
                </c:pt>
                <c:pt idx="113">
                  <c:v>45576</c:v>
                </c:pt>
                <c:pt idx="114">
                  <c:v>45577</c:v>
                </c:pt>
                <c:pt idx="115">
                  <c:v>45578</c:v>
                </c:pt>
                <c:pt idx="116">
                  <c:v>45579</c:v>
                </c:pt>
                <c:pt idx="117">
                  <c:v>45580</c:v>
                </c:pt>
                <c:pt idx="118">
                  <c:v>45581</c:v>
                </c:pt>
                <c:pt idx="119">
                  <c:v>45582</c:v>
                </c:pt>
                <c:pt idx="120">
                  <c:v>45583</c:v>
                </c:pt>
                <c:pt idx="121">
                  <c:v>45584</c:v>
                </c:pt>
                <c:pt idx="122">
                  <c:v>45585</c:v>
                </c:pt>
                <c:pt idx="123">
                  <c:v>45586</c:v>
                </c:pt>
                <c:pt idx="124">
                  <c:v>45587</c:v>
                </c:pt>
              </c:numCache>
            </c:numRef>
          </c:cat>
          <c:val>
            <c:numRef>
              <c:f>main!$K$6:$K$130</c:f>
              <c:numCache>
                <c:formatCode>General</c:formatCode>
                <c:ptCount val="125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17</c:v>
                </c:pt>
                <c:pt idx="13">
                  <c:v>17</c:v>
                </c:pt>
                <c:pt idx="14">
                  <c:v>17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18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  <c:pt idx="23">
                  <c:v>20</c:v>
                </c:pt>
                <c:pt idx="24">
                  <c:v>20</c:v>
                </c:pt>
                <c:pt idx="25">
                  <c:v>20</c:v>
                </c:pt>
                <c:pt idx="26">
                  <c:v>20</c:v>
                </c:pt>
                <c:pt idx="27">
                  <c:v>20</c:v>
                </c:pt>
                <c:pt idx="28">
                  <c:v>20</c:v>
                </c:pt>
                <c:pt idx="29">
                  <c:v>18</c:v>
                </c:pt>
                <c:pt idx="30">
                  <c:v>18</c:v>
                </c:pt>
                <c:pt idx="31">
                  <c:v>18</c:v>
                </c:pt>
                <c:pt idx="32">
                  <c:v>18</c:v>
                </c:pt>
                <c:pt idx="33">
                  <c:v>18</c:v>
                </c:pt>
                <c:pt idx="34">
                  <c:v>18</c:v>
                </c:pt>
                <c:pt idx="35">
                  <c:v>18</c:v>
                </c:pt>
                <c:pt idx="36">
                  <c:v>18</c:v>
                </c:pt>
                <c:pt idx="37">
                  <c:v>18</c:v>
                </c:pt>
                <c:pt idx="38">
                  <c:v>18</c:v>
                </c:pt>
                <c:pt idx="39">
                  <c:v>18</c:v>
                </c:pt>
                <c:pt idx="40">
                  <c:v>18</c:v>
                </c:pt>
                <c:pt idx="41">
                  <c:v>18</c:v>
                </c:pt>
                <c:pt idx="42">
                  <c:v>18</c:v>
                </c:pt>
                <c:pt idx="43">
                  <c:v>18</c:v>
                </c:pt>
                <c:pt idx="44">
                  <c:v>18</c:v>
                </c:pt>
                <c:pt idx="45">
                  <c:v>18</c:v>
                </c:pt>
                <c:pt idx="46">
                  <c:v>18</c:v>
                </c:pt>
                <c:pt idx="47">
                  <c:v>18</c:v>
                </c:pt>
                <c:pt idx="48">
                  <c:v>18</c:v>
                </c:pt>
                <c:pt idx="49">
                  <c:v>18</c:v>
                </c:pt>
                <c:pt idx="50">
                  <c:v>18</c:v>
                </c:pt>
                <c:pt idx="51">
                  <c:v>18</c:v>
                </c:pt>
                <c:pt idx="52">
                  <c:v>18</c:v>
                </c:pt>
                <c:pt idx="53">
                  <c:v>18</c:v>
                </c:pt>
                <c:pt idx="54">
                  <c:v>18</c:v>
                </c:pt>
                <c:pt idx="55">
                  <c:v>18</c:v>
                </c:pt>
                <c:pt idx="56">
                  <c:v>18</c:v>
                </c:pt>
                <c:pt idx="57">
                  <c:v>18</c:v>
                </c:pt>
                <c:pt idx="58">
                  <c:v>18</c:v>
                </c:pt>
                <c:pt idx="59">
                  <c:v>18</c:v>
                </c:pt>
                <c:pt idx="60">
                  <c:v>18</c:v>
                </c:pt>
                <c:pt idx="61">
                  <c:v>18</c:v>
                </c:pt>
                <c:pt idx="62">
                  <c:v>18</c:v>
                </c:pt>
                <c:pt idx="63">
                  <c:v>18</c:v>
                </c:pt>
                <c:pt idx="64">
                  <c:v>18</c:v>
                </c:pt>
                <c:pt idx="65">
                  <c:v>18</c:v>
                </c:pt>
                <c:pt idx="66">
                  <c:v>18</c:v>
                </c:pt>
                <c:pt idx="67">
                  <c:v>18</c:v>
                </c:pt>
                <c:pt idx="68">
                  <c:v>18</c:v>
                </c:pt>
                <c:pt idx="69">
                  <c:v>18</c:v>
                </c:pt>
                <c:pt idx="70">
                  <c:v>18</c:v>
                </c:pt>
                <c:pt idx="71">
                  <c:v>18</c:v>
                </c:pt>
                <c:pt idx="72">
                  <c:v>18</c:v>
                </c:pt>
                <c:pt idx="73">
                  <c:v>18</c:v>
                </c:pt>
                <c:pt idx="74">
                  <c:v>10</c:v>
                </c:pt>
                <c:pt idx="75">
                  <c:v>18</c:v>
                </c:pt>
                <c:pt idx="76">
                  <c:v>18</c:v>
                </c:pt>
                <c:pt idx="77">
                  <c:v>10</c:v>
                </c:pt>
                <c:pt idx="78">
                  <c:v>18</c:v>
                </c:pt>
                <c:pt idx="79">
                  <c:v>4</c:v>
                </c:pt>
                <c:pt idx="80">
                  <c:v>18</c:v>
                </c:pt>
                <c:pt idx="81">
                  <c:v>10</c:v>
                </c:pt>
                <c:pt idx="82">
                  <c:v>14</c:v>
                </c:pt>
                <c:pt idx="83">
                  <c:v>10</c:v>
                </c:pt>
                <c:pt idx="84">
                  <c:v>16</c:v>
                </c:pt>
                <c:pt idx="85">
                  <c:v>18</c:v>
                </c:pt>
                <c:pt idx="86">
                  <c:v>18</c:v>
                </c:pt>
                <c:pt idx="87">
                  <c:v>18</c:v>
                </c:pt>
                <c:pt idx="88">
                  <c:v>10</c:v>
                </c:pt>
                <c:pt idx="89">
                  <c:v>18</c:v>
                </c:pt>
                <c:pt idx="90">
                  <c:v>18</c:v>
                </c:pt>
                <c:pt idx="91">
                  <c:v>10</c:v>
                </c:pt>
                <c:pt idx="92">
                  <c:v>18</c:v>
                </c:pt>
                <c:pt idx="93">
                  <c:v>18</c:v>
                </c:pt>
                <c:pt idx="94">
                  <c:v>16</c:v>
                </c:pt>
                <c:pt idx="95">
                  <c:v>18</c:v>
                </c:pt>
                <c:pt idx="96">
                  <c:v>18</c:v>
                </c:pt>
                <c:pt idx="97">
                  <c:v>18</c:v>
                </c:pt>
                <c:pt idx="98">
                  <c:v>18</c:v>
                </c:pt>
                <c:pt idx="99">
                  <c:v>18</c:v>
                </c:pt>
                <c:pt idx="100">
                  <c:v>18</c:v>
                </c:pt>
                <c:pt idx="101">
                  <c:v>18</c:v>
                </c:pt>
                <c:pt idx="102">
                  <c:v>18</c:v>
                </c:pt>
                <c:pt idx="103">
                  <c:v>18</c:v>
                </c:pt>
                <c:pt idx="104">
                  <c:v>18</c:v>
                </c:pt>
                <c:pt idx="105">
                  <c:v>18</c:v>
                </c:pt>
                <c:pt idx="106">
                  <c:v>18</c:v>
                </c:pt>
                <c:pt idx="107">
                  <c:v>18</c:v>
                </c:pt>
                <c:pt idx="108">
                  <c:v>18</c:v>
                </c:pt>
                <c:pt idx="109">
                  <c:v>18</c:v>
                </c:pt>
                <c:pt idx="110">
                  <c:v>18</c:v>
                </c:pt>
                <c:pt idx="111">
                  <c:v>18</c:v>
                </c:pt>
                <c:pt idx="112">
                  <c:v>18</c:v>
                </c:pt>
                <c:pt idx="113">
                  <c:v>18</c:v>
                </c:pt>
                <c:pt idx="114">
                  <c:v>18</c:v>
                </c:pt>
                <c:pt idx="115">
                  <c:v>18</c:v>
                </c:pt>
                <c:pt idx="116">
                  <c:v>18</c:v>
                </c:pt>
                <c:pt idx="117">
                  <c:v>18</c:v>
                </c:pt>
                <c:pt idx="118">
                  <c:v>18</c:v>
                </c:pt>
                <c:pt idx="119">
                  <c:v>18</c:v>
                </c:pt>
                <c:pt idx="120">
                  <c:v>18</c:v>
                </c:pt>
                <c:pt idx="121">
                  <c:v>18</c:v>
                </c:pt>
                <c:pt idx="122">
                  <c:v>18</c:v>
                </c:pt>
                <c:pt idx="123">
                  <c:v>18</c:v>
                </c:pt>
                <c:pt idx="124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1E1-4090-853C-1CC6872F22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6045039"/>
        <c:axId val="346045519"/>
      </c:lineChart>
      <c:dateAx>
        <c:axId val="346045039"/>
        <c:scaling>
          <c:orientation val="minMax"/>
        </c:scaling>
        <c:delete val="0"/>
        <c:axPos val="b"/>
        <c:numFmt formatCode="d\-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045519"/>
        <c:crosses val="autoZero"/>
        <c:auto val="1"/>
        <c:lblOffset val="100"/>
        <c:baseTimeUnit val="days"/>
        <c:majorUnit val="7"/>
        <c:majorTimeUnit val="days"/>
      </c:dateAx>
      <c:valAx>
        <c:axId val="346045519"/>
        <c:scaling>
          <c:orientation val="minMax"/>
          <c:max val="2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Insulin Dosage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045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7226095139413952E-2"/>
          <c:y val="0.18946049693074984"/>
          <c:w val="0.90187069495280014"/>
          <c:h val="0.63596802081524806"/>
        </c:manualLayout>
      </c:layout>
      <c:lineChart>
        <c:grouping val="standard"/>
        <c:varyColors val="0"/>
        <c:ser>
          <c:idx val="0"/>
          <c:order val="0"/>
          <c:tx>
            <c:strRef>
              <c:f>main!$F$5</c:f>
              <c:strCache>
                <c:ptCount val="1"/>
                <c:pt idx="0">
                  <c:v>Post Lunch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movingAvg"/>
            <c:period val="7"/>
            <c:dispRSqr val="0"/>
            <c:dispEq val="0"/>
          </c:trendline>
          <c:cat>
            <c:numRef>
              <c:f>main!$A$6:$A$130</c:f>
              <c:numCache>
                <c:formatCode>d\-mmm\-yy</c:formatCode>
                <c:ptCount val="125"/>
                <c:pt idx="0">
                  <c:v>45463</c:v>
                </c:pt>
                <c:pt idx="1">
                  <c:v>45464</c:v>
                </c:pt>
                <c:pt idx="2">
                  <c:v>45465</c:v>
                </c:pt>
                <c:pt idx="3">
                  <c:v>45466</c:v>
                </c:pt>
                <c:pt idx="4">
                  <c:v>45467</c:v>
                </c:pt>
                <c:pt idx="5">
                  <c:v>45468</c:v>
                </c:pt>
                <c:pt idx="6">
                  <c:v>45469</c:v>
                </c:pt>
                <c:pt idx="7">
                  <c:v>45470</c:v>
                </c:pt>
                <c:pt idx="8">
                  <c:v>45471</c:v>
                </c:pt>
                <c:pt idx="9">
                  <c:v>45472</c:v>
                </c:pt>
                <c:pt idx="10">
                  <c:v>45473</c:v>
                </c:pt>
                <c:pt idx="11">
                  <c:v>45474</c:v>
                </c:pt>
                <c:pt idx="12">
                  <c:v>45475</c:v>
                </c:pt>
                <c:pt idx="13">
                  <c:v>45476</c:v>
                </c:pt>
                <c:pt idx="14">
                  <c:v>45477</c:v>
                </c:pt>
                <c:pt idx="15">
                  <c:v>45478</c:v>
                </c:pt>
                <c:pt idx="16">
                  <c:v>45479</c:v>
                </c:pt>
                <c:pt idx="17">
                  <c:v>45480</c:v>
                </c:pt>
                <c:pt idx="18">
                  <c:v>45481</c:v>
                </c:pt>
                <c:pt idx="19">
                  <c:v>45482</c:v>
                </c:pt>
                <c:pt idx="20">
                  <c:v>45483</c:v>
                </c:pt>
                <c:pt idx="21">
                  <c:v>45484</c:v>
                </c:pt>
                <c:pt idx="22">
                  <c:v>45485</c:v>
                </c:pt>
                <c:pt idx="23">
                  <c:v>45486</c:v>
                </c:pt>
                <c:pt idx="24">
                  <c:v>45487</c:v>
                </c:pt>
                <c:pt idx="25">
                  <c:v>45488</c:v>
                </c:pt>
                <c:pt idx="26">
                  <c:v>45489</c:v>
                </c:pt>
                <c:pt idx="27">
                  <c:v>45490</c:v>
                </c:pt>
                <c:pt idx="28">
                  <c:v>45491</c:v>
                </c:pt>
                <c:pt idx="29">
                  <c:v>45492</c:v>
                </c:pt>
                <c:pt idx="30">
                  <c:v>45493</c:v>
                </c:pt>
                <c:pt idx="31">
                  <c:v>45494</c:v>
                </c:pt>
                <c:pt idx="32">
                  <c:v>45495</c:v>
                </c:pt>
                <c:pt idx="33">
                  <c:v>45496</c:v>
                </c:pt>
                <c:pt idx="34">
                  <c:v>45497</c:v>
                </c:pt>
                <c:pt idx="35">
                  <c:v>45498</c:v>
                </c:pt>
                <c:pt idx="36">
                  <c:v>45499</c:v>
                </c:pt>
                <c:pt idx="37">
                  <c:v>45500</c:v>
                </c:pt>
                <c:pt idx="38">
                  <c:v>45501</c:v>
                </c:pt>
                <c:pt idx="39">
                  <c:v>45502</c:v>
                </c:pt>
                <c:pt idx="40">
                  <c:v>45503</c:v>
                </c:pt>
                <c:pt idx="41">
                  <c:v>45504</c:v>
                </c:pt>
                <c:pt idx="42">
                  <c:v>45505</c:v>
                </c:pt>
                <c:pt idx="43">
                  <c:v>45506</c:v>
                </c:pt>
                <c:pt idx="44">
                  <c:v>45507</c:v>
                </c:pt>
                <c:pt idx="45">
                  <c:v>45508</c:v>
                </c:pt>
                <c:pt idx="46">
                  <c:v>45509</c:v>
                </c:pt>
                <c:pt idx="47">
                  <c:v>45510</c:v>
                </c:pt>
                <c:pt idx="48">
                  <c:v>45511</c:v>
                </c:pt>
                <c:pt idx="49">
                  <c:v>45512</c:v>
                </c:pt>
                <c:pt idx="50">
                  <c:v>45513</c:v>
                </c:pt>
                <c:pt idx="51">
                  <c:v>45514</c:v>
                </c:pt>
                <c:pt idx="52">
                  <c:v>45515</c:v>
                </c:pt>
                <c:pt idx="53">
                  <c:v>45516</c:v>
                </c:pt>
                <c:pt idx="54">
                  <c:v>45517</c:v>
                </c:pt>
                <c:pt idx="55">
                  <c:v>45518</c:v>
                </c:pt>
                <c:pt idx="56">
                  <c:v>45519</c:v>
                </c:pt>
                <c:pt idx="57">
                  <c:v>45520</c:v>
                </c:pt>
                <c:pt idx="58">
                  <c:v>45521</c:v>
                </c:pt>
                <c:pt idx="59">
                  <c:v>45522</c:v>
                </c:pt>
                <c:pt idx="60">
                  <c:v>45523</c:v>
                </c:pt>
                <c:pt idx="61">
                  <c:v>45524</c:v>
                </c:pt>
                <c:pt idx="62">
                  <c:v>45525</c:v>
                </c:pt>
                <c:pt idx="63">
                  <c:v>45526</c:v>
                </c:pt>
                <c:pt idx="64">
                  <c:v>45527</c:v>
                </c:pt>
                <c:pt idx="65">
                  <c:v>45528</c:v>
                </c:pt>
                <c:pt idx="66">
                  <c:v>45529</c:v>
                </c:pt>
                <c:pt idx="67">
                  <c:v>45530</c:v>
                </c:pt>
                <c:pt idx="68">
                  <c:v>45531</c:v>
                </c:pt>
                <c:pt idx="69">
                  <c:v>45532</c:v>
                </c:pt>
                <c:pt idx="70">
                  <c:v>45533</c:v>
                </c:pt>
                <c:pt idx="71">
                  <c:v>45534</c:v>
                </c:pt>
                <c:pt idx="72">
                  <c:v>45535</c:v>
                </c:pt>
                <c:pt idx="73">
                  <c:v>45536</c:v>
                </c:pt>
                <c:pt idx="74">
                  <c:v>45537</c:v>
                </c:pt>
                <c:pt idx="75">
                  <c:v>45538</c:v>
                </c:pt>
                <c:pt idx="76">
                  <c:v>45539</c:v>
                </c:pt>
                <c:pt idx="77">
                  <c:v>45540</c:v>
                </c:pt>
                <c:pt idx="78">
                  <c:v>45541</c:v>
                </c:pt>
                <c:pt idx="79">
                  <c:v>45542</c:v>
                </c:pt>
                <c:pt idx="80">
                  <c:v>45543</c:v>
                </c:pt>
                <c:pt idx="81">
                  <c:v>45544</c:v>
                </c:pt>
                <c:pt idx="82">
                  <c:v>45545</c:v>
                </c:pt>
                <c:pt idx="83">
                  <c:v>45546</c:v>
                </c:pt>
                <c:pt idx="84">
                  <c:v>45547</c:v>
                </c:pt>
                <c:pt idx="85">
                  <c:v>45548</c:v>
                </c:pt>
                <c:pt idx="86">
                  <c:v>45549</c:v>
                </c:pt>
                <c:pt idx="87">
                  <c:v>45550</c:v>
                </c:pt>
                <c:pt idx="88">
                  <c:v>45551</c:v>
                </c:pt>
                <c:pt idx="89">
                  <c:v>45552</c:v>
                </c:pt>
                <c:pt idx="90">
                  <c:v>45553</c:v>
                </c:pt>
                <c:pt idx="91">
                  <c:v>45554</c:v>
                </c:pt>
                <c:pt idx="92">
                  <c:v>45555</c:v>
                </c:pt>
                <c:pt idx="93">
                  <c:v>45556</c:v>
                </c:pt>
                <c:pt idx="94">
                  <c:v>45557</c:v>
                </c:pt>
                <c:pt idx="95">
                  <c:v>45558</c:v>
                </c:pt>
                <c:pt idx="96">
                  <c:v>45559</c:v>
                </c:pt>
                <c:pt idx="97">
                  <c:v>45560</c:v>
                </c:pt>
                <c:pt idx="98">
                  <c:v>45561</c:v>
                </c:pt>
                <c:pt idx="99">
                  <c:v>45562</c:v>
                </c:pt>
                <c:pt idx="100">
                  <c:v>45563</c:v>
                </c:pt>
                <c:pt idx="101">
                  <c:v>45564</c:v>
                </c:pt>
                <c:pt idx="102">
                  <c:v>45565</c:v>
                </c:pt>
                <c:pt idx="103">
                  <c:v>45566</c:v>
                </c:pt>
                <c:pt idx="104">
                  <c:v>45567</c:v>
                </c:pt>
                <c:pt idx="105">
                  <c:v>45568</c:v>
                </c:pt>
                <c:pt idx="106">
                  <c:v>45569</c:v>
                </c:pt>
                <c:pt idx="107">
                  <c:v>45570</c:v>
                </c:pt>
                <c:pt idx="108">
                  <c:v>45571</c:v>
                </c:pt>
                <c:pt idx="109">
                  <c:v>45572</c:v>
                </c:pt>
                <c:pt idx="110">
                  <c:v>45573</c:v>
                </c:pt>
                <c:pt idx="111">
                  <c:v>45574</c:v>
                </c:pt>
                <c:pt idx="112">
                  <c:v>45575</c:v>
                </c:pt>
                <c:pt idx="113">
                  <c:v>45576</c:v>
                </c:pt>
                <c:pt idx="114">
                  <c:v>45577</c:v>
                </c:pt>
                <c:pt idx="115">
                  <c:v>45578</c:v>
                </c:pt>
                <c:pt idx="116">
                  <c:v>45579</c:v>
                </c:pt>
                <c:pt idx="117">
                  <c:v>45580</c:v>
                </c:pt>
                <c:pt idx="118">
                  <c:v>45581</c:v>
                </c:pt>
                <c:pt idx="119">
                  <c:v>45582</c:v>
                </c:pt>
                <c:pt idx="120">
                  <c:v>45583</c:v>
                </c:pt>
                <c:pt idx="121">
                  <c:v>45584</c:v>
                </c:pt>
                <c:pt idx="122">
                  <c:v>45585</c:v>
                </c:pt>
                <c:pt idx="123">
                  <c:v>45586</c:v>
                </c:pt>
                <c:pt idx="124">
                  <c:v>45587</c:v>
                </c:pt>
              </c:numCache>
            </c:numRef>
          </c:cat>
          <c:val>
            <c:numRef>
              <c:f>main!$F$6:$F$130</c:f>
              <c:numCache>
                <c:formatCode>General</c:formatCode>
                <c:ptCount val="125"/>
                <c:pt idx="12">
                  <c:v>11.1</c:v>
                </c:pt>
                <c:pt idx="13">
                  <c:v>12.7</c:v>
                </c:pt>
                <c:pt idx="14">
                  <c:v>9.1999999999999993</c:v>
                </c:pt>
                <c:pt idx="15">
                  <c:v>9.9</c:v>
                </c:pt>
                <c:pt idx="16">
                  <c:v>10.199999999999999</c:v>
                </c:pt>
                <c:pt idx="17">
                  <c:v>8.6999999999999993</c:v>
                </c:pt>
                <c:pt idx="18">
                  <c:v>9.5</c:v>
                </c:pt>
                <c:pt idx="19">
                  <c:v>10.5</c:v>
                </c:pt>
                <c:pt idx="20">
                  <c:v>9.3000000000000007</c:v>
                </c:pt>
                <c:pt idx="21">
                  <c:v>9.1999999999999993</c:v>
                </c:pt>
                <c:pt idx="22">
                  <c:v>9.8000000000000007</c:v>
                </c:pt>
                <c:pt idx="23">
                  <c:v>6.2</c:v>
                </c:pt>
                <c:pt idx="24">
                  <c:v>5.0999999999999996</c:v>
                </c:pt>
                <c:pt idx="25">
                  <c:v>7.3</c:v>
                </c:pt>
                <c:pt idx="26">
                  <c:v>9.3000000000000007</c:v>
                </c:pt>
                <c:pt idx="27">
                  <c:v>7.6</c:v>
                </c:pt>
                <c:pt idx="28">
                  <c:v>7.7</c:v>
                </c:pt>
                <c:pt idx="29">
                  <c:v>9.6999999999999993</c:v>
                </c:pt>
                <c:pt idx="30">
                  <c:v>6.9</c:v>
                </c:pt>
                <c:pt idx="31">
                  <c:v>10.7</c:v>
                </c:pt>
                <c:pt idx="32">
                  <c:v>7.5</c:v>
                </c:pt>
                <c:pt idx="33">
                  <c:v>5.9</c:v>
                </c:pt>
                <c:pt idx="34">
                  <c:v>8.8000000000000007</c:v>
                </c:pt>
                <c:pt idx="35">
                  <c:v>8.6</c:v>
                </c:pt>
                <c:pt idx="36">
                  <c:v>4.8</c:v>
                </c:pt>
                <c:pt idx="37">
                  <c:v>6.4</c:v>
                </c:pt>
                <c:pt idx="38">
                  <c:v>8</c:v>
                </c:pt>
                <c:pt idx="39">
                  <c:v>7.9</c:v>
                </c:pt>
                <c:pt idx="40">
                  <c:v>6.4</c:v>
                </c:pt>
                <c:pt idx="41">
                  <c:v>6.5</c:v>
                </c:pt>
                <c:pt idx="42">
                  <c:v>9.3000000000000007</c:v>
                </c:pt>
                <c:pt idx="43">
                  <c:v>7.1</c:v>
                </c:pt>
                <c:pt idx="44">
                  <c:v>5</c:v>
                </c:pt>
                <c:pt idx="45">
                  <c:v>7.7</c:v>
                </c:pt>
                <c:pt idx="46">
                  <c:v>4.9000000000000004</c:v>
                </c:pt>
                <c:pt idx="47">
                  <c:v>9.8000000000000007</c:v>
                </c:pt>
                <c:pt idx="48">
                  <c:v>8.1999999999999993</c:v>
                </c:pt>
                <c:pt idx="49">
                  <c:v>6.6</c:v>
                </c:pt>
                <c:pt idx="50">
                  <c:v>7.8</c:v>
                </c:pt>
                <c:pt idx="51">
                  <c:v>6.6</c:v>
                </c:pt>
                <c:pt idx="52">
                  <c:v>9</c:v>
                </c:pt>
                <c:pt idx="53">
                  <c:v>5.5</c:v>
                </c:pt>
                <c:pt idx="54">
                  <c:v>7.4</c:v>
                </c:pt>
                <c:pt idx="55">
                  <c:v>5.5</c:v>
                </c:pt>
                <c:pt idx="56">
                  <c:v>5.8</c:v>
                </c:pt>
                <c:pt idx="57">
                  <c:v>8</c:v>
                </c:pt>
                <c:pt idx="58">
                  <c:v>5.6</c:v>
                </c:pt>
                <c:pt idx="59">
                  <c:v>5.7</c:v>
                </c:pt>
                <c:pt idx="60">
                  <c:v>4.9000000000000004</c:v>
                </c:pt>
                <c:pt idx="61">
                  <c:v>8.5</c:v>
                </c:pt>
                <c:pt idx="62">
                  <c:v>7</c:v>
                </c:pt>
                <c:pt idx="63">
                  <c:v>7</c:v>
                </c:pt>
                <c:pt idx="64">
                  <c:v>5.8</c:v>
                </c:pt>
                <c:pt idx="65">
                  <c:v>5.8</c:v>
                </c:pt>
                <c:pt idx="66">
                  <c:v>5.3</c:v>
                </c:pt>
                <c:pt idx="67">
                  <c:v>6.5</c:v>
                </c:pt>
                <c:pt idx="68">
                  <c:v>6.1</c:v>
                </c:pt>
                <c:pt idx="69">
                  <c:v>6</c:v>
                </c:pt>
                <c:pt idx="70">
                  <c:v>6.5</c:v>
                </c:pt>
                <c:pt idx="71">
                  <c:v>5.4</c:v>
                </c:pt>
                <c:pt idx="72">
                  <c:v>8.3000000000000007</c:v>
                </c:pt>
                <c:pt idx="73">
                  <c:v>5.0999999999999996</c:v>
                </c:pt>
                <c:pt idx="74">
                  <c:v>7.2</c:v>
                </c:pt>
                <c:pt idx="75">
                  <c:v>5.8</c:v>
                </c:pt>
                <c:pt idx="76">
                  <c:v>8.1999999999999993</c:v>
                </c:pt>
                <c:pt idx="77">
                  <c:v>5.9</c:v>
                </c:pt>
                <c:pt idx="78">
                  <c:v>5.5</c:v>
                </c:pt>
                <c:pt idx="79">
                  <c:v>5.3</c:v>
                </c:pt>
                <c:pt idx="80">
                  <c:v>5.8</c:v>
                </c:pt>
                <c:pt idx="81">
                  <c:v>8</c:v>
                </c:pt>
                <c:pt idx="82">
                  <c:v>5.6</c:v>
                </c:pt>
                <c:pt idx="83">
                  <c:v>8</c:v>
                </c:pt>
                <c:pt idx="84">
                  <c:v>7</c:v>
                </c:pt>
                <c:pt idx="85">
                  <c:v>6.1</c:v>
                </c:pt>
                <c:pt idx="86">
                  <c:v>5.7</c:v>
                </c:pt>
                <c:pt idx="87">
                  <c:v>6.1</c:v>
                </c:pt>
                <c:pt idx="88">
                  <c:v>8</c:v>
                </c:pt>
                <c:pt idx="89">
                  <c:v>9.6</c:v>
                </c:pt>
                <c:pt idx="90">
                  <c:v>7.2</c:v>
                </c:pt>
                <c:pt idx="91">
                  <c:v>6.1</c:v>
                </c:pt>
                <c:pt idx="92">
                  <c:v>4.3</c:v>
                </c:pt>
                <c:pt idx="93">
                  <c:v>6.5</c:v>
                </c:pt>
                <c:pt idx="94">
                  <c:v>6.2</c:v>
                </c:pt>
                <c:pt idx="95">
                  <c:v>5.8</c:v>
                </c:pt>
                <c:pt idx="96">
                  <c:v>13.5</c:v>
                </c:pt>
                <c:pt idx="97">
                  <c:v>6.5</c:v>
                </c:pt>
                <c:pt idx="98">
                  <c:v>6.4</c:v>
                </c:pt>
                <c:pt idx="99">
                  <c:v>6.1</c:v>
                </c:pt>
                <c:pt idx="100">
                  <c:v>6</c:v>
                </c:pt>
                <c:pt idx="101">
                  <c:v>9</c:v>
                </c:pt>
                <c:pt idx="102">
                  <c:v>10</c:v>
                </c:pt>
                <c:pt idx="103">
                  <c:v>9.3000000000000007</c:v>
                </c:pt>
                <c:pt idx="104">
                  <c:v>6</c:v>
                </c:pt>
                <c:pt idx="105">
                  <c:v>5.2</c:v>
                </c:pt>
                <c:pt idx="106">
                  <c:v>7.8</c:v>
                </c:pt>
                <c:pt idx="107">
                  <c:v>4.9000000000000004</c:v>
                </c:pt>
                <c:pt idx="108">
                  <c:v>6.5</c:v>
                </c:pt>
                <c:pt idx="109">
                  <c:v>6.4</c:v>
                </c:pt>
                <c:pt idx="110">
                  <c:v>5.4</c:v>
                </c:pt>
                <c:pt idx="111">
                  <c:v>5.5</c:v>
                </c:pt>
                <c:pt idx="112">
                  <c:v>8.5</c:v>
                </c:pt>
                <c:pt idx="113">
                  <c:v>3.4</c:v>
                </c:pt>
                <c:pt idx="114">
                  <c:v>4.5999999999999996</c:v>
                </c:pt>
                <c:pt idx="115">
                  <c:v>4.5</c:v>
                </c:pt>
                <c:pt idx="116">
                  <c:v>6</c:v>
                </c:pt>
                <c:pt idx="117">
                  <c:v>7.2</c:v>
                </c:pt>
                <c:pt idx="118">
                  <c:v>3.3</c:v>
                </c:pt>
                <c:pt idx="119">
                  <c:v>8</c:v>
                </c:pt>
                <c:pt idx="120">
                  <c:v>6.1</c:v>
                </c:pt>
                <c:pt idx="121">
                  <c:v>7.6</c:v>
                </c:pt>
                <c:pt idx="122">
                  <c:v>5.8</c:v>
                </c:pt>
                <c:pt idx="123">
                  <c:v>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A7-4465-AC6A-8E2F6632AA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8062367"/>
        <c:axId val="678062847"/>
      </c:lineChart>
      <c:dateAx>
        <c:axId val="678062367"/>
        <c:scaling>
          <c:orientation val="minMax"/>
          <c:min val="45475"/>
        </c:scaling>
        <c:delete val="0"/>
        <c:axPos val="b"/>
        <c:numFmt formatCode="d\-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8062847"/>
        <c:crosses val="autoZero"/>
        <c:auto val="1"/>
        <c:lblOffset val="100"/>
        <c:baseTimeUnit val="days"/>
        <c:majorUnit val="7"/>
        <c:majorTimeUnit val="days"/>
      </c:dateAx>
      <c:valAx>
        <c:axId val="678062847"/>
        <c:scaling>
          <c:orientation val="minMax"/>
          <c:max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80623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558897893815707E-2"/>
          <c:y val="0.16258942222643802"/>
          <c:w val="0.88175198552694745"/>
          <c:h val="0.58397144942849477"/>
        </c:manualLayout>
      </c:layout>
      <c:lineChart>
        <c:grouping val="standard"/>
        <c:varyColors val="0"/>
        <c:ser>
          <c:idx val="2"/>
          <c:order val="0"/>
          <c:tx>
            <c:strRef>
              <c:f>main!$D$5</c:f>
              <c:strCache>
                <c:ptCount val="1"/>
                <c:pt idx="0">
                  <c:v>Post Breakfast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movingAvg"/>
            <c:period val="7"/>
            <c:dispRSqr val="0"/>
            <c:dispEq val="0"/>
          </c:trendline>
          <c:cat>
            <c:numRef>
              <c:f>main!$A$6:$A$130</c:f>
              <c:numCache>
                <c:formatCode>d\-mmm\-yy</c:formatCode>
                <c:ptCount val="125"/>
                <c:pt idx="0">
                  <c:v>45463</c:v>
                </c:pt>
                <c:pt idx="1">
                  <c:v>45464</c:v>
                </c:pt>
                <c:pt idx="2">
                  <c:v>45465</c:v>
                </c:pt>
                <c:pt idx="3">
                  <c:v>45466</c:v>
                </c:pt>
                <c:pt idx="4">
                  <c:v>45467</c:v>
                </c:pt>
                <c:pt idx="5">
                  <c:v>45468</c:v>
                </c:pt>
                <c:pt idx="6">
                  <c:v>45469</c:v>
                </c:pt>
                <c:pt idx="7">
                  <c:v>45470</c:v>
                </c:pt>
                <c:pt idx="8">
                  <c:v>45471</c:v>
                </c:pt>
                <c:pt idx="9">
                  <c:v>45472</c:v>
                </c:pt>
                <c:pt idx="10">
                  <c:v>45473</c:v>
                </c:pt>
                <c:pt idx="11">
                  <c:v>45474</c:v>
                </c:pt>
                <c:pt idx="12">
                  <c:v>45475</c:v>
                </c:pt>
                <c:pt idx="13">
                  <c:v>45476</c:v>
                </c:pt>
                <c:pt idx="14">
                  <c:v>45477</c:v>
                </c:pt>
                <c:pt idx="15">
                  <c:v>45478</c:v>
                </c:pt>
                <c:pt idx="16">
                  <c:v>45479</c:v>
                </c:pt>
                <c:pt idx="17">
                  <c:v>45480</c:v>
                </c:pt>
                <c:pt idx="18">
                  <c:v>45481</c:v>
                </c:pt>
                <c:pt idx="19">
                  <c:v>45482</c:v>
                </c:pt>
                <c:pt idx="20">
                  <c:v>45483</c:v>
                </c:pt>
                <c:pt idx="21">
                  <c:v>45484</c:v>
                </c:pt>
                <c:pt idx="22">
                  <c:v>45485</c:v>
                </c:pt>
                <c:pt idx="23">
                  <c:v>45486</c:v>
                </c:pt>
                <c:pt idx="24">
                  <c:v>45487</c:v>
                </c:pt>
                <c:pt idx="25">
                  <c:v>45488</c:v>
                </c:pt>
                <c:pt idx="26">
                  <c:v>45489</c:v>
                </c:pt>
                <c:pt idx="27">
                  <c:v>45490</c:v>
                </c:pt>
                <c:pt idx="28">
                  <c:v>45491</c:v>
                </c:pt>
                <c:pt idx="29">
                  <c:v>45492</c:v>
                </c:pt>
                <c:pt idx="30">
                  <c:v>45493</c:v>
                </c:pt>
                <c:pt idx="31">
                  <c:v>45494</c:v>
                </c:pt>
                <c:pt idx="32">
                  <c:v>45495</c:v>
                </c:pt>
                <c:pt idx="33">
                  <c:v>45496</c:v>
                </c:pt>
                <c:pt idx="34">
                  <c:v>45497</c:v>
                </c:pt>
                <c:pt idx="35">
                  <c:v>45498</c:v>
                </c:pt>
                <c:pt idx="36">
                  <c:v>45499</c:v>
                </c:pt>
                <c:pt idx="37">
                  <c:v>45500</c:v>
                </c:pt>
                <c:pt idx="38">
                  <c:v>45501</c:v>
                </c:pt>
                <c:pt idx="39">
                  <c:v>45502</c:v>
                </c:pt>
                <c:pt idx="40">
                  <c:v>45503</c:v>
                </c:pt>
                <c:pt idx="41">
                  <c:v>45504</c:v>
                </c:pt>
                <c:pt idx="42">
                  <c:v>45505</c:v>
                </c:pt>
                <c:pt idx="43">
                  <c:v>45506</c:v>
                </c:pt>
                <c:pt idx="44">
                  <c:v>45507</c:v>
                </c:pt>
                <c:pt idx="45">
                  <c:v>45508</c:v>
                </c:pt>
                <c:pt idx="46">
                  <c:v>45509</c:v>
                </c:pt>
                <c:pt idx="47">
                  <c:v>45510</c:v>
                </c:pt>
                <c:pt idx="48">
                  <c:v>45511</c:v>
                </c:pt>
                <c:pt idx="49">
                  <c:v>45512</c:v>
                </c:pt>
                <c:pt idx="50">
                  <c:v>45513</c:v>
                </c:pt>
                <c:pt idx="51">
                  <c:v>45514</c:v>
                </c:pt>
                <c:pt idx="52">
                  <c:v>45515</c:v>
                </c:pt>
                <c:pt idx="53">
                  <c:v>45516</c:v>
                </c:pt>
                <c:pt idx="54">
                  <c:v>45517</c:v>
                </c:pt>
                <c:pt idx="55">
                  <c:v>45518</c:v>
                </c:pt>
                <c:pt idx="56">
                  <c:v>45519</c:v>
                </c:pt>
                <c:pt idx="57">
                  <c:v>45520</c:v>
                </c:pt>
                <c:pt idx="58">
                  <c:v>45521</c:v>
                </c:pt>
                <c:pt idx="59">
                  <c:v>45522</c:v>
                </c:pt>
                <c:pt idx="60">
                  <c:v>45523</c:v>
                </c:pt>
                <c:pt idx="61">
                  <c:v>45524</c:v>
                </c:pt>
                <c:pt idx="62">
                  <c:v>45525</c:v>
                </c:pt>
                <c:pt idx="63">
                  <c:v>45526</c:v>
                </c:pt>
                <c:pt idx="64">
                  <c:v>45527</c:v>
                </c:pt>
                <c:pt idx="65">
                  <c:v>45528</c:v>
                </c:pt>
                <c:pt idx="66">
                  <c:v>45529</c:v>
                </c:pt>
                <c:pt idx="67">
                  <c:v>45530</c:v>
                </c:pt>
                <c:pt idx="68">
                  <c:v>45531</c:v>
                </c:pt>
                <c:pt idx="69">
                  <c:v>45532</c:v>
                </c:pt>
                <c:pt idx="70">
                  <c:v>45533</c:v>
                </c:pt>
                <c:pt idx="71">
                  <c:v>45534</c:v>
                </c:pt>
                <c:pt idx="72">
                  <c:v>45535</c:v>
                </c:pt>
                <c:pt idx="73">
                  <c:v>45536</c:v>
                </c:pt>
                <c:pt idx="74">
                  <c:v>45537</c:v>
                </c:pt>
                <c:pt idx="75">
                  <c:v>45538</c:v>
                </c:pt>
                <c:pt idx="76">
                  <c:v>45539</c:v>
                </c:pt>
                <c:pt idx="77">
                  <c:v>45540</c:v>
                </c:pt>
                <c:pt idx="78">
                  <c:v>45541</c:v>
                </c:pt>
                <c:pt idx="79">
                  <c:v>45542</c:v>
                </c:pt>
                <c:pt idx="80">
                  <c:v>45543</c:v>
                </c:pt>
                <c:pt idx="81">
                  <c:v>45544</c:v>
                </c:pt>
                <c:pt idx="82">
                  <c:v>45545</c:v>
                </c:pt>
                <c:pt idx="83">
                  <c:v>45546</c:v>
                </c:pt>
                <c:pt idx="84">
                  <c:v>45547</c:v>
                </c:pt>
                <c:pt idx="85">
                  <c:v>45548</c:v>
                </c:pt>
                <c:pt idx="86">
                  <c:v>45549</c:v>
                </c:pt>
                <c:pt idx="87">
                  <c:v>45550</c:v>
                </c:pt>
                <c:pt idx="88">
                  <c:v>45551</c:v>
                </c:pt>
                <c:pt idx="89">
                  <c:v>45552</c:v>
                </c:pt>
                <c:pt idx="90">
                  <c:v>45553</c:v>
                </c:pt>
                <c:pt idx="91">
                  <c:v>45554</c:v>
                </c:pt>
                <c:pt idx="92">
                  <c:v>45555</c:v>
                </c:pt>
                <c:pt idx="93">
                  <c:v>45556</c:v>
                </c:pt>
                <c:pt idx="94">
                  <c:v>45557</c:v>
                </c:pt>
                <c:pt idx="95">
                  <c:v>45558</c:v>
                </c:pt>
                <c:pt idx="96">
                  <c:v>45559</c:v>
                </c:pt>
                <c:pt idx="97">
                  <c:v>45560</c:v>
                </c:pt>
                <c:pt idx="98">
                  <c:v>45561</c:v>
                </c:pt>
                <c:pt idx="99">
                  <c:v>45562</c:v>
                </c:pt>
                <c:pt idx="100">
                  <c:v>45563</c:v>
                </c:pt>
                <c:pt idx="101">
                  <c:v>45564</c:v>
                </c:pt>
                <c:pt idx="102">
                  <c:v>45565</c:v>
                </c:pt>
                <c:pt idx="103">
                  <c:v>45566</c:v>
                </c:pt>
                <c:pt idx="104">
                  <c:v>45567</c:v>
                </c:pt>
                <c:pt idx="105">
                  <c:v>45568</c:v>
                </c:pt>
                <c:pt idx="106">
                  <c:v>45569</c:v>
                </c:pt>
                <c:pt idx="107">
                  <c:v>45570</c:v>
                </c:pt>
                <c:pt idx="108">
                  <c:v>45571</c:v>
                </c:pt>
                <c:pt idx="109">
                  <c:v>45572</c:v>
                </c:pt>
                <c:pt idx="110">
                  <c:v>45573</c:v>
                </c:pt>
                <c:pt idx="111">
                  <c:v>45574</c:v>
                </c:pt>
                <c:pt idx="112">
                  <c:v>45575</c:v>
                </c:pt>
                <c:pt idx="113">
                  <c:v>45576</c:v>
                </c:pt>
                <c:pt idx="114">
                  <c:v>45577</c:v>
                </c:pt>
                <c:pt idx="115">
                  <c:v>45578</c:v>
                </c:pt>
                <c:pt idx="116">
                  <c:v>45579</c:v>
                </c:pt>
                <c:pt idx="117">
                  <c:v>45580</c:v>
                </c:pt>
                <c:pt idx="118">
                  <c:v>45581</c:v>
                </c:pt>
                <c:pt idx="119">
                  <c:v>45582</c:v>
                </c:pt>
                <c:pt idx="120">
                  <c:v>45583</c:v>
                </c:pt>
                <c:pt idx="121">
                  <c:v>45584</c:v>
                </c:pt>
                <c:pt idx="122">
                  <c:v>45585</c:v>
                </c:pt>
                <c:pt idx="123">
                  <c:v>45586</c:v>
                </c:pt>
                <c:pt idx="124">
                  <c:v>45587</c:v>
                </c:pt>
              </c:numCache>
            </c:numRef>
          </c:cat>
          <c:val>
            <c:numRef>
              <c:f>main!$D$6:$D$130</c:f>
              <c:numCache>
                <c:formatCode>General</c:formatCode>
                <c:ptCount val="125"/>
                <c:pt idx="12">
                  <c:v>7.8</c:v>
                </c:pt>
                <c:pt idx="13">
                  <c:v>12.1</c:v>
                </c:pt>
                <c:pt idx="14">
                  <c:v>7.9</c:v>
                </c:pt>
                <c:pt idx="15">
                  <c:v>11.2</c:v>
                </c:pt>
                <c:pt idx="16" formatCode="0.0">
                  <c:v>9.75</c:v>
                </c:pt>
                <c:pt idx="17" formatCode="0.0">
                  <c:v>5.8</c:v>
                </c:pt>
                <c:pt idx="18" formatCode="0.0">
                  <c:v>6.7</c:v>
                </c:pt>
                <c:pt idx="19" formatCode="0.0">
                  <c:v>6.7</c:v>
                </c:pt>
                <c:pt idx="20" formatCode="0.0">
                  <c:v>7.5</c:v>
                </c:pt>
                <c:pt idx="21" formatCode="0.0">
                  <c:v>7.4</c:v>
                </c:pt>
                <c:pt idx="22" formatCode="0.0">
                  <c:v>8.1999999999999993</c:v>
                </c:pt>
                <c:pt idx="23" formatCode="0.0">
                  <c:v>6.3</c:v>
                </c:pt>
                <c:pt idx="24" formatCode="0.0">
                  <c:v>4.8</c:v>
                </c:pt>
                <c:pt idx="25" formatCode="0.0">
                  <c:v>5.6</c:v>
                </c:pt>
                <c:pt idx="26" formatCode="0.0">
                  <c:v>7.9</c:v>
                </c:pt>
                <c:pt idx="27" formatCode="0.0">
                  <c:v>4.7</c:v>
                </c:pt>
                <c:pt idx="28" formatCode="0.0">
                  <c:v>4.5</c:v>
                </c:pt>
                <c:pt idx="29" formatCode="0.0">
                  <c:v>4.5</c:v>
                </c:pt>
                <c:pt idx="30" formatCode="0.0">
                  <c:v>3.9</c:v>
                </c:pt>
                <c:pt idx="31" formatCode="0.0">
                  <c:v>5.8</c:v>
                </c:pt>
                <c:pt idx="32" formatCode="0.0">
                  <c:v>5.4</c:v>
                </c:pt>
                <c:pt idx="33" formatCode="0.0">
                  <c:v>6.7</c:v>
                </c:pt>
                <c:pt idx="34" formatCode="0.0">
                  <c:v>4.4000000000000004</c:v>
                </c:pt>
                <c:pt idx="35" formatCode="0.0">
                  <c:v>6</c:v>
                </c:pt>
                <c:pt idx="36" formatCode="0.0">
                  <c:v>5.5</c:v>
                </c:pt>
                <c:pt idx="37" formatCode="0.0">
                  <c:v>6.6</c:v>
                </c:pt>
                <c:pt idx="38" formatCode="0.0">
                  <c:v>4.5</c:v>
                </c:pt>
                <c:pt idx="39" formatCode="0.0">
                  <c:v>6.6</c:v>
                </c:pt>
                <c:pt idx="40" formatCode="0.0">
                  <c:v>5.8</c:v>
                </c:pt>
                <c:pt idx="41" formatCode="0.0">
                  <c:v>6.1</c:v>
                </c:pt>
                <c:pt idx="42" formatCode="0.0">
                  <c:v>6.7</c:v>
                </c:pt>
                <c:pt idx="43" formatCode="0.0">
                  <c:v>5.3</c:v>
                </c:pt>
                <c:pt idx="44" formatCode="0.0">
                  <c:v>6.9</c:v>
                </c:pt>
                <c:pt idx="45" formatCode="0.0">
                  <c:v>4</c:v>
                </c:pt>
                <c:pt idx="46" formatCode="0.0">
                  <c:v>4.2</c:v>
                </c:pt>
                <c:pt idx="47" formatCode="0.0">
                  <c:v>5.0999999999999996</c:v>
                </c:pt>
                <c:pt idx="48">
                  <c:v>3.8</c:v>
                </c:pt>
                <c:pt idx="49" formatCode="0.0">
                  <c:v>6.3</c:v>
                </c:pt>
                <c:pt idx="50" formatCode="0.0">
                  <c:v>7.3</c:v>
                </c:pt>
                <c:pt idx="51" formatCode="0.0">
                  <c:v>4.4000000000000004</c:v>
                </c:pt>
                <c:pt idx="52" formatCode="0.0">
                  <c:v>5.2</c:v>
                </c:pt>
                <c:pt idx="53" formatCode="0.0">
                  <c:v>4.5999999999999996</c:v>
                </c:pt>
                <c:pt idx="54" formatCode="0.0">
                  <c:v>7.8</c:v>
                </c:pt>
                <c:pt idx="55" formatCode="0.0">
                  <c:v>5.8</c:v>
                </c:pt>
                <c:pt idx="56" formatCode="0.0">
                  <c:v>5.7</c:v>
                </c:pt>
                <c:pt idx="57" formatCode="0.0">
                  <c:v>5.4</c:v>
                </c:pt>
                <c:pt idx="58" formatCode="0.0">
                  <c:v>7.2</c:v>
                </c:pt>
                <c:pt idx="59" formatCode="0.0">
                  <c:v>4.9000000000000004</c:v>
                </c:pt>
                <c:pt idx="60" formatCode="0.0">
                  <c:v>5.0999999999999996</c:v>
                </c:pt>
                <c:pt idx="61" formatCode="0.0">
                  <c:v>5.6</c:v>
                </c:pt>
                <c:pt idx="62" formatCode="0.0">
                  <c:v>4</c:v>
                </c:pt>
                <c:pt idx="63" formatCode="0.0">
                  <c:v>5.7</c:v>
                </c:pt>
                <c:pt idx="64" formatCode="0.0">
                  <c:v>3.8</c:v>
                </c:pt>
                <c:pt idx="65" formatCode="0.0">
                  <c:v>4.9000000000000004</c:v>
                </c:pt>
                <c:pt idx="66" formatCode="0.0">
                  <c:v>5.6</c:v>
                </c:pt>
                <c:pt idx="67" formatCode="0.0">
                  <c:v>7.4</c:v>
                </c:pt>
                <c:pt idx="68" formatCode="0.0">
                  <c:v>5.7</c:v>
                </c:pt>
                <c:pt idx="69" formatCode="0.0">
                  <c:v>5.0999999999999996</c:v>
                </c:pt>
                <c:pt idx="70" formatCode="0.0">
                  <c:v>5.9</c:v>
                </c:pt>
                <c:pt idx="71" formatCode="0.0">
                  <c:v>6.6</c:v>
                </c:pt>
                <c:pt idx="72" formatCode="0.0">
                  <c:v>4.9000000000000004</c:v>
                </c:pt>
                <c:pt idx="73" formatCode="0.0">
                  <c:v>5.7</c:v>
                </c:pt>
                <c:pt idx="74" formatCode="0.0">
                  <c:v>4.8</c:v>
                </c:pt>
                <c:pt idx="75" formatCode="0.0">
                  <c:v>7.4</c:v>
                </c:pt>
                <c:pt idx="76" formatCode="0.0">
                  <c:v>6.2</c:v>
                </c:pt>
                <c:pt idx="77" formatCode="0.0">
                  <c:v>4.7</c:v>
                </c:pt>
                <c:pt idx="78" formatCode="0.0">
                  <c:v>6.7</c:v>
                </c:pt>
                <c:pt idx="79" formatCode="0.0">
                  <c:v>4.5</c:v>
                </c:pt>
                <c:pt idx="80" formatCode="0.0">
                  <c:v>5.2</c:v>
                </c:pt>
                <c:pt idx="81" formatCode="0.0">
                  <c:v>4.7</c:v>
                </c:pt>
                <c:pt idx="82" formatCode="0.0">
                  <c:v>5.2</c:v>
                </c:pt>
                <c:pt idx="83" formatCode="0.0">
                  <c:v>6.4</c:v>
                </c:pt>
                <c:pt idx="84" formatCode="0.0">
                  <c:v>4</c:v>
                </c:pt>
                <c:pt idx="85" formatCode="0.0">
                  <c:v>6</c:v>
                </c:pt>
                <c:pt idx="86" formatCode="0.0">
                  <c:v>6.1</c:v>
                </c:pt>
                <c:pt idx="87" formatCode="0.0">
                  <c:v>6.4</c:v>
                </c:pt>
                <c:pt idx="88" formatCode="0.0">
                  <c:v>6.5</c:v>
                </c:pt>
                <c:pt idx="89" formatCode="0.0">
                  <c:v>5.6</c:v>
                </c:pt>
                <c:pt idx="90" formatCode="0.0">
                  <c:v>7</c:v>
                </c:pt>
                <c:pt idx="91" formatCode="0.0">
                  <c:v>6.5</c:v>
                </c:pt>
                <c:pt idx="92" formatCode="0.0">
                  <c:v>6.1</c:v>
                </c:pt>
                <c:pt idx="93" formatCode="0.0">
                  <c:v>5.8</c:v>
                </c:pt>
                <c:pt idx="94" formatCode="0.0">
                  <c:v>5.9</c:v>
                </c:pt>
                <c:pt idx="95" formatCode="0.0">
                  <c:v>7.5</c:v>
                </c:pt>
                <c:pt idx="96" formatCode="0.0">
                  <c:v>5.8</c:v>
                </c:pt>
                <c:pt idx="97" formatCode="0.0">
                  <c:v>9.1999999999999993</c:v>
                </c:pt>
                <c:pt idx="98" formatCode="0.0">
                  <c:v>4.5999999999999996</c:v>
                </c:pt>
                <c:pt idx="99" formatCode="0.0">
                  <c:v>3.6</c:v>
                </c:pt>
                <c:pt idx="100" formatCode="0.0">
                  <c:v>5.4</c:v>
                </c:pt>
                <c:pt idx="101" formatCode="0.0">
                  <c:v>6.7</c:v>
                </c:pt>
                <c:pt idx="102" formatCode="0.0">
                  <c:v>6.5</c:v>
                </c:pt>
                <c:pt idx="103" formatCode="0.0">
                  <c:v>5.8</c:v>
                </c:pt>
                <c:pt idx="104" formatCode="0.0">
                  <c:v>6.8</c:v>
                </c:pt>
                <c:pt idx="105" formatCode="0.0">
                  <c:v>5.2</c:v>
                </c:pt>
                <c:pt idx="106" formatCode="0.0">
                  <c:v>5.6</c:v>
                </c:pt>
                <c:pt idx="107" formatCode="0.0">
                  <c:v>7.1</c:v>
                </c:pt>
                <c:pt idx="108" formatCode="0.0">
                  <c:v>6.2</c:v>
                </c:pt>
                <c:pt idx="109" formatCode="0.0">
                  <c:v>7.2</c:v>
                </c:pt>
                <c:pt idx="110" formatCode="0.0">
                  <c:v>6.1</c:v>
                </c:pt>
                <c:pt idx="111" formatCode="0.0">
                  <c:v>4.9000000000000004</c:v>
                </c:pt>
                <c:pt idx="112" formatCode="0.0">
                  <c:v>3.8</c:v>
                </c:pt>
                <c:pt idx="113" formatCode="0.0">
                  <c:v>4.8</c:v>
                </c:pt>
                <c:pt idx="114" formatCode="0.0">
                  <c:v>5.0999999999999996</c:v>
                </c:pt>
                <c:pt idx="115" formatCode="0.0">
                  <c:v>3.7</c:v>
                </c:pt>
                <c:pt idx="116" formatCode="0.0">
                  <c:v>5</c:v>
                </c:pt>
                <c:pt idx="117" formatCode="0.0">
                  <c:v>7.8</c:v>
                </c:pt>
                <c:pt idx="118" formatCode="0.0">
                  <c:v>5.7</c:v>
                </c:pt>
                <c:pt idx="119" formatCode="0.0">
                  <c:v>7.9</c:v>
                </c:pt>
                <c:pt idx="120" formatCode="0.0">
                  <c:v>5</c:v>
                </c:pt>
                <c:pt idx="121" formatCode="0.0">
                  <c:v>6.7</c:v>
                </c:pt>
                <c:pt idx="122" formatCode="0.0">
                  <c:v>3.6</c:v>
                </c:pt>
                <c:pt idx="123" formatCode="0.0">
                  <c:v>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A27-4038-8439-8FB36A0D5D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1435471"/>
        <c:axId val="251437391"/>
      </c:lineChart>
      <c:dateAx>
        <c:axId val="251435471"/>
        <c:scaling>
          <c:orientation val="minMax"/>
          <c:min val="45475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1437391"/>
        <c:crosses val="autoZero"/>
        <c:auto val="1"/>
        <c:lblOffset val="100"/>
        <c:baseTimeUnit val="days"/>
      </c:dateAx>
      <c:valAx>
        <c:axId val="251437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14354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426593</xdr:colOff>
      <xdr:row>0</xdr:row>
      <xdr:rowOff>0</xdr:rowOff>
    </xdr:from>
    <xdr:to>
      <xdr:col>26</xdr:col>
      <xdr:colOff>51869</xdr:colOff>
      <xdr:row>12</xdr:row>
      <xdr:rowOff>8964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8E41396-FDE2-EBAB-6699-BD6B0451E5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44823</xdr:colOff>
      <xdr:row>0</xdr:row>
      <xdr:rowOff>16584</xdr:rowOff>
    </xdr:from>
    <xdr:to>
      <xdr:col>36</xdr:col>
      <xdr:colOff>435429</xdr:colOff>
      <xdr:row>26</xdr:row>
      <xdr:rowOff>125169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E882B2A-01C8-F12C-6332-F5D3C1A255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117998</xdr:colOff>
      <xdr:row>12</xdr:row>
      <xdr:rowOff>11206</xdr:rowOff>
    </xdr:from>
    <xdr:to>
      <xdr:col>18</xdr:col>
      <xdr:colOff>418316</xdr:colOff>
      <xdr:row>23</xdr:row>
      <xdr:rowOff>78442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4C10471A-9118-F093-BAD1-586D427F7E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108858</xdr:colOff>
      <xdr:row>23</xdr:row>
      <xdr:rowOff>77769</xdr:rowOff>
    </xdr:from>
    <xdr:to>
      <xdr:col>18</xdr:col>
      <xdr:colOff>406661</xdr:colOff>
      <xdr:row>33</xdr:row>
      <xdr:rowOff>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6F7DC433-5C4B-52F8-22A8-EECE782CDE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134471</xdr:colOff>
      <xdr:row>33</xdr:row>
      <xdr:rowOff>0</xdr:rowOff>
    </xdr:from>
    <xdr:to>
      <xdr:col>18</xdr:col>
      <xdr:colOff>403412</xdr:colOff>
      <xdr:row>44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BA6AABAF-FBDB-95D8-ABE4-5D76A38AC3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412376</xdr:colOff>
      <xdr:row>33</xdr:row>
      <xdr:rowOff>0</xdr:rowOff>
    </xdr:from>
    <xdr:to>
      <xdr:col>26</xdr:col>
      <xdr:colOff>44823</xdr:colOff>
      <xdr:row>43</xdr:row>
      <xdr:rowOff>171337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42D71B-4ADF-5DD2-6DC4-9128290658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26</xdr:col>
      <xdr:colOff>15384</xdr:colOff>
      <xdr:row>26</xdr:row>
      <xdr:rowOff>166007</xdr:rowOff>
    </xdr:from>
    <xdr:to>
      <xdr:col>36</xdr:col>
      <xdr:colOff>366911</xdr:colOff>
      <xdr:row>43</xdr:row>
      <xdr:rowOff>166007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FBD2ABF-B4D3-C1C5-281A-A12368917F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18</xdr:col>
      <xdr:colOff>418827</xdr:colOff>
      <xdr:row>23</xdr:row>
      <xdr:rowOff>66130</xdr:rowOff>
    </xdr:from>
    <xdr:to>
      <xdr:col>25</xdr:col>
      <xdr:colOff>598714</xdr:colOff>
      <xdr:row>33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0D9330D-644E-58CF-9CDA-7BAAD52D7C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18</xdr:col>
      <xdr:colOff>449037</xdr:colOff>
      <xdr:row>12</xdr:row>
      <xdr:rowOff>17417</xdr:rowOff>
    </xdr:from>
    <xdr:to>
      <xdr:col>26</xdr:col>
      <xdr:colOff>40824</xdr:colOff>
      <xdr:row>23</xdr:row>
      <xdr:rowOff>58239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434A87C-0F83-B5F0-083B-A71C727663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8229571-E852-4D72-AD88-420739E80AA6}" name="Table2" displayName="Table2" ref="A5:K130" totalsRowShown="0">
  <autoFilter ref="A5:K130" xr:uid="{98229571-E852-4D72-AD88-420739E80AA6}"/>
  <tableColumns count="11">
    <tableColumn id="1" xr3:uid="{F3B13052-68BF-4C97-BCA9-A385B988D19D}" name="Date " dataDxfId="2"/>
    <tableColumn id="2" xr3:uid="{75CE39A0-3FAC-4324-B899-84EFA5722702}" name="Weight" dataDxfId="1"/>
    <tableColumn id="3" xr3:uid="{E5B64DB2-CAD1-4DC4-923F-5F20775B475A}" name="Morning (07:15)"/>
    <tableColumn id="9" xr3:uid="{8610C2D9-DA3D-495E-A7DA-1A087E914E11}" name="Post Breakfast"/>
    <tableColumn id="4" xr3:uid="{00F66A78-6A41-4945-84A6-A1E12629EBFE}" name="Lunch (12:50)"/>
    <tableColumn id="11" xr3:uid="{DA037DE9-EE8C-4C10-862E-2C83BFA97EF2}" name="Post Lunch"/>
    <tableColumn id="5" xr3:uid="{E3472B9D-C032-4E2E-9BA7-82B356494844}" name="Dinner (18:30)"/>
    <tableColumn id="6" xr3:uid="{9CFCB6D2-CB0D-4850-AD19-CA964ED4C0DE}" name="BedTime (21:45)"/>
    <tableColumn id="10" xr3:uid="{73CACED3-F448-42A7-BC85-39BC86714F29}" name="Insulin AM"/>
    <tableColumn id="7" xr3:uid="{89C85138-4E24-4F0B-9432-AF619E396C99}" name="Insulin PM"/>
    <tableColumn id="8" xr3:uid="{2F9D318F-A568-4EAB-A181-CF4EA9B228EC}" name="Daily Insulin" dataDxfId="0">
      <calculatedColumnFormula>SUM(Table2[[#This Row],[Insulin AM]:[Insulin PM]])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1A06E-97E0-492A-AFA3-9B50FA5CE61B}">
  <dimension ref="A1:AD133"/>
  <sheetViews>
    <sheetView tabSelected="1" topLeftCell="A100" zoomScale="85" zoomScaleNormal="85" workbookViewId="0">
      <selection activeCell="P117" sqref="P117"/>
    </sheetView>
  </sheetViews>
  <sheetFormatPr defaultRowHeight="14.4" x14ac:dyDescent="0.3"/>
  <cols>
    <col min="1" max="1" width="11.33203125" bestFit="1" customWidth="1"/>
    <col min="2" max="2" width="10.21875" bestFit="1" customWidth="1"/>
    <col min="3" max="3" width="17.88671875" bestFit="1" customWidth="1"/>
    <col min="4" max="4" width="16.33203125" bestFit="1" customWidth="1"/>
    <col min="5" max="5" width="16" bestFit="1" customWidth="1"/>
    <col min="6" max="6" width="13.5546875" bestFit="1" customWidth="1"/>
    <col min="7" max="7" width="16.44140625" bestFit="1" customWidth="1"/>
    <col min="8" max="8" width="18.33203125" bestFit="1" customWidth="1"/>
    <col min="9" max="10" width="13.33203125" bestFit="1" customWidth="1"/>
    <col min="11" max="11" width="14.88671875" bestFit="1" customWidth="1"/>
    <col min="12" max="12" width="8" bestFit="1" customWidth="1"/>
    <col min="30" max="30" width="1.33203125" bestFit="1" customWidth="1"/>
  </cols>
  <sheetData>
    <row r="1" spans="1:11" x14ac:dyDescent="0.3">
      <c r="B1" t="s">
        <v>0</v>
      </c>
      <c r="C1" t="s">
        <v>3</v>
      </c>
      <c r="D1" t="s">
        <v>11</v>
      </c>
      <c r="E1" t="s">
        <v>4</v>
      </c>
      <c r="F1" t="s">
        <v>12</v>
      </c>
      <c r="G1" t="s">
        <v>6</v>
      </c>
      <c r="H1" t="s">
        <v>5</v>
      </c>
    </row>
    <row r="2" spans="1:11" x14ac:dyDescent="0.3">
      <c r="A2" t="s">
        <v>7</v>
      </c>
      <c r="B2" s="2">
        <f>AVERAGE(B6:B161)</f>
        <v>79.289600000000021</v>
      </c>
      <c r="C2" s="2">
        <f>AVERAGE(C6:C161)</f>
        <v>6.2280000000000006</v>
      </c>
      <c r="D2" s="2">
        <f>AVERAGE(D6:D161)</f>
        <v>5.9352678571428585</v>
      </c>
      <c r="E2" s="2">
        <f>AVERAGE(E6:E161)</f>
        <v>7.5620967741935443</v>
      </c>
      <c r="F2" s="2">
        <f>AVERAGE(F6:F161)</f>
        <v>7.0830357142857148</v>
      </c>
      <c r="G2" s="2">
        <f>AVERAGE(G6:G161)</f>
        <v>7.3895161290322573</v>
      </c>
      <c r="H2" s="2">
        <f>AVERAGE(H6:H161)</f>
        <v>6.5363636363636335</v>
      </c>
    </row>
    <row r="3" spans="1:11" x14ac:dyDescent="0.3">
      <c r="A3" t="s">
        <v>8</v>
      </c>
      <c r="B3" s="2">
        <f>MAX(B6:B168)</f>
        <v>82.9</v>
      </c>
      <c r="C3">
        <f>MIN(C6:C168)</f>
        <v>3.5</v>
      </c>
      <c r="D3">
        <f>MIN(D6:D168)</f>
        <v>3.6</v>
      </c>
      <c r="E3">
        <f>MIN(E6:E168)</f>
        <v>3.8</v>
      </c>
      <c r="F3">
        <f>MIN(F6:F168)</f>
        <v>3.3</v>
      </c>
      <c r="G3">
        <f>MIN(G6:G168)</f>
        <v>3.8</v>
      </c>
      <c r="H3">
        <f>MIN(H6:H168)</f>
        <v>3.1</v>
      </c>
    </row>
    <row r="5" spans="1:11" x14ac:dyDescent="0.3">
      <c r="A5" t="s">
        <v>1</v>
      </c>
      <c r="B5" t="s">
        <v>0</v>
      </c>
      <c r="C5" t="s">
        <v>3</v>
      </c>
      <c r="D5" t="s">
        <v>11</v>
      </c>
      <c r="E5" t="s">
        <v>4</v>
      </c>
      <c r="F5" t="s">
        <v>12</v>
      </c>
      <c r="G5" t="s">
        <v>6</v>
      </c>
      <c r="H5" t="s">
        <v>5</v>
      </c>
      <c r="I5" t="s">
        <v>10</v>
      </c>
      <c r="J5" t="s">
        <v>9</v>
      </c>
      <c r="K5" t="s">
        <v>14</v>
      </c>
    </row>
    <row r="6" spans="1:11" x14ac:dyDescent="0.3">
      <c r="A6" s="1">
        <v>45463</v>
      </c>
      <c r="B6" s="2">
        <v>72.400000000000006</v>
      </c>
      <c r="C6">
        <v>14.6</v>
      </c>
      <c r="E6">
        <v>18.5</v>
      </c>
      <c r="G6">
        <v>16.5</v>
      </c>
      <c r="J6">
        <v>10</v>
      </c>
      <c r="K6">
        <f>SUM(Table2[[#This Row],[Insulin AM]:[Insulin PM]])</f>
        <v>10</v>
      </c>
    </row>
    <row r="7" spans="1:11" x14ac:dyDescent="0.3">
      <c r="A7" s="1">
        <v>45464</v>
      </c>
      <c r="B7" s="2">
        <v>71.2</v>
      </c>
      <c r="C7">
        <v>14.9</v>
      </c>
      <c r="E7">
        <v>18.5</v>
      </c>
      <c r="G7">
        <v>16.2</v>
      </c>
      <c r="J7">
        <v>10</v>
      </c>
      <c r="K7">
        <f>SUM(Table2[[#This Row],[Insulin AM]:[Insulin PM]])</f>
        <v>10</v>
      </c>
    </row>
    <row r="8" spans="1:11" x14ac:dyDescent="0.3">
      <c r="A8" s="1">
        <v>45465</v>
      </c>
      <c r="B8" s="2">
        <v>73.400000000000006</v>
      </c>
      <c r="C8">
        <v>14.2</v>
      </c>
      <c r="E8">
        <v>19.5</v>
      </c>
      <c r="G8">
        <v>16.7</v>
      </c>
      <c r="J8">
        <v>10</v>
      </c>
      <c r="K8">
        <f>SUM(Table2[[#This Row],[Insulin AM]:[Insulin PM]])</f>
        <v>10</v>
      </c>
    </row>
    <row r="9" spans="1:11" x14ac:dyDescent="0.3">
      <c r="A9" s="1">
        <v>45466</v>
      </c>
      <c r="B9" s="2">
        <v>72.900000000000006</v>
      </c>
      <c r="C9">
        <v>14.2</v>
      </c>
      <c r="E9">
        <v>17.899999999999999</v>
      </c>
      <c r="G9">
        <v>16.8</v>
      </c>
      <c r="H9">
        <v>14.2</v>
      </c>
      <c r="J9">
        <v>12</v>
      </c>
      <c r="K9">
        <f>SUM(Table2[[#This Row],[Insulin AM]:[Insulin PM]])</f>
        <v>12</v>
      </c>
    </row>
    <row r="10" spans="1:11" x14ac:dyDescent="0.3">
      <c r="A10" s="1">
        <v>45467</v>
      </c>
      <c r="B10" s="2">
        <v>73.5</v>
      </c>
      <c r="C10">
        <v>12.5</v>
      </c>
      <c r="E10">
        <v>18.100000000000001</v>
      </c>
      <c r="G10">
        <v>19</v>
      </c>
      <c r="H10">
        <v>12.1</v>
      </c>
      <c r="J10">
        <v>12</v>
      </c>
      <c r="K10">
        <f>SUM(Table2[[#This Row],[Insulin AM]:[Insulin PM]])</f>
        <v>12</v>
      </c>
    </row>
    <row r="11" spans="1:11" x14ac:dyDescent="0.3">
      <c r="A11" s="1">
        <v>45468</v>
      </c>
      <c r="B11" s="2">
        <v>73</v>
      </c>
      <c r="C11">
        <v>13.3</v>
      </c>
      <c r="E11">
        <v>16.7</v>
      </c>
      <c r="G11">
        <v>14.9</v>
      </c>
      <c r="H11">
        <v>11.3</v>
      </c>
      <c r="J11">
        <v>12</v>
      </c>
      <c r="K11">
        <f>SUM(Table2[[#This Row],[Insulin AM]:[Insulin PM]])</f>
        <v>12</v>
      </c>
    </row>
    <row r="12" spans="1:11" x14ac:dyDescent="0.3">
      <c r="A12" s="1">
        <v>45469</v>
      </c>
      <c r="B12" s="2">
        <v>73.7</v>
      </c>
      <c r="C12">
        <v>13.4</v>
      </c>
      <c r="E12">
        <v>17.3</v>
      </c>
      <c r="G12">
        <v>18.3</v>
      </c>
      <c r="H12">
        <v>9.5</v>
      </c>
      <c r="J12">
        <v>12</v>
      </c>
      <c r="K12">
        <f>SUM(Table2[[#This Row],[Insulin AM]:[Insulin PM]])</f>
        <v>12</v>
      </c>
    </row>
    <row r="13" spans="1:11" x14ac:dyDescent="0.3">
      <c r="A13" s="1">
        <v>45470</v>
      </c>
      <c r="B13" s="2">
        <v>74</v>
      </c>
      <c r="C13">
        <v>10.5</v>
      </c>
      <c r="E13">
        <v>17.2</v>
      </c>
      <c r="G13">
        <v>15</v>
      </c>
      <c r="H13">
        <v>9.6999999999999993</v>
      </c>
      <c r="J13">
        <v>12</v>
      </c>
      <c r="K13">
        <f>SUM(Table2[[#This Row],[Insulin AM]:[Insulin PM]])</f>
        <v>12</v>
      </c>
    </row>
    <row r="14" spans="1:11" x14ac:dyDescent="0.3">
      <c r="A14" s="1">
        <v>45471</v>
      </c>
      <c r="B14" s="2">
        <v>74.5</v>
      </c>
      <c r="C14">
        <v>8.9</v>
      </c>
      <c r="E14">
        <v>15.3</v>
      </c>
      <c r="G14">
        <v>13.3</v>
      </c>
      <c r="H14">
        <v>11.3</v>
      </c>
      <c r="J14">
        <v>12</v>
      </c>
      <c r="K14">
        <f>SUM(Table2[[#This Row],[Insulin AM]:[Insulin PM]])</f>
        <v>12</v>
      </c>
    </row>
    <row r="15" spans="1:11" x14ac:dyDescent="0.3">
      <c r="A15" s="1">
        <v>45472</v>
      </c>
      <c r="B15" s="2">
        <v>75.3</v>
      </c>
      <c r="C15">
        <v>10.3</v>
      </c>
      <c r="E15">
        <v>15.8</v>
      </c>
      <c r="G15">
        <v>15.4</v>
      </c>
      <c r="H15">
        <v>10.8</v>
      </c>
      <c r="J15">
        <v>12</v>
      </c>
      <c r="K15">
        <f>SUM(Table2[[#This Row],[Insulin AM]:[Insulin PM]])</f>
        <v>12</v>
      </c>
    </row>
    <row r="16" spans="1:11" x14ac:dyDescent="0.3">
      <c r="A16" s="1">
        <v>45473</v>
      </c>
      <c r="B16" s="2">
        <v>75.099999999999994</v>
      </c>
      <c r="C16">
        <v>9.5</v>
      </c>
      <c r="E16">
        <v>14.3</v>
      </c>
      <c r="G16">
        <v>14.5</v>
      </c>
      <c r="H16">
        <v>7.3</v>
      </c>
      <c r="J16">
        <v>12</v>
      </c>
      <c r="K16">
        <f>SUM(Table2[[#This Row],[Insulin AM]:[Insulin PM]])</f>
        <v>12</v>
      </c>
    </row>
    <row r="17" spans="1:11" x14ac:dyDescent="0.3">
      <c r="A17" s="1">
        <v>45474</v>
      </c>
      <c r="B17" s="2">
        <v>74.3</v>
      </c>
      <c r="C17">
        <v>8.5</v>
      </c>
      <c r="E17">
        <v>13.4</v>
      </c>
      <c r="G17">
        <v>12.9</v>
      </c>
      <c r="H17">
        <v>7.7</v>
      </c>
      <c r="J17">
        <v>12</v>
      </c>
      <c r="K17">
        <f>SUM(Table2[[#This Row],[Insulin AM]:[Insulin PM]])</f>
        <v>12</v>
      </c>
    </row>
    <row r="18" spans="1:11" x14ac:dyDescent="0.3">
      <c r="A18" s="1">
        <v>45475</v>
      </c>
      <c r="B18" s="2">
        <v>74.7</v>
      </c>
      <c r="C18">
        <v>8.6</v>
      </c>
      <c r="D18">
        <v>7.8</v>
      </c>
      <c r="E18">
        <v>9.5</v>
      </c>
      <c r="F18">
        <v>11.1</v>
      </c>
      <c r="G18">
        <v>15.4</v>
      </c>
      <c r="H18">
        <v>6.8</v>
      </c>
      <c r="I18">
        <v>5</v>
      </c>
      <c r="J18">
        <v>12</v>
      </c>
      <c r="K18">
        <f>SUM(Table2[[#This Row],[Insulin AM]:[Insulin PM]])</f>
        <v>17</v>
      </c>
    </row>
    <row r="19" spans="1:11" x14ac:dyDescent="0.3">
      <c r="A19" s="1">
        <v>45476</v>
      </c>
      <c r="B19" s="2">
        <v>74.099999999999994</v>
      </c>
      <c r="C19">
        <v>7.9</v>
      </c>
      <c r="D19">
        <v>12.1</v>
      </c>
      <c r="E19">
        <v>10.6</v>
      </c>
      <c r="F19">
        <v>12.7</v>
      </c>
      <c r="G19">
        <v>10.8</v>
      </c>
      <c r="H19">
        <v>6</v>
      </c>
      <c r="I19">
        <v>5</v>
      </c>
      <c r="J19">
        <v>12</v>
      </c>
      <c r="K19">
        <f>SUM(Table2[[#This Row],[Insulin AM]:[Insulin PM]])</f>
        <v>17</v>
      </c>
    </row>
    <row r="20" spans="1:11" x14ac:dyDescent="0.3">
      <c r="A20" s="1">
        <v>45477</v>
      </c>
      <c r="B20" s="2">
        <v>74.7</v>
      </c>
      <c r="C20">
        <v>5.4</v>
      </c>
      <c r="D20">
        <v>7.9</v>
      </c>
      <c r="E20">
        <v>8.5</v>
      </c>
      <c r="F20">
        <v>9.1999999999999993</v>
      </c>
      <c r="G20">
        <v>12.2</v>
      </c>
      <c r="H20">
        <v>5.5</v>
      </c>
      <c r="I20">
        <v>5</v>
      </c>
      <c r="J20">
        <v>12</v>
      </c>
      <c r="K20">
        <f>SUM(Table2[[#This Row],[Insulin AM]:[Insulin PM]])</f>
        <v>17</v>
      </c>
    </row>
    <row r="21" spans="1:11" x14ac:dyDescent="0.3">
      <c r="A21" s="1">
        <v>45478</v>
      </c>
      <c r="B21" s="2">
        <v>74.7</v>
      </c>
      <c r="C21">
        <v>7.1</v>
      </c>
      <c r="D21">
        <v>11.2</v>
      </c>
      <c r="E21">
        <v>10</v>
      </c>
      <c r="F21">
        <v>9.9</v>
      </c>
      <c r="G21">
        <v>9</v>
      </c>
      <c r="H21">
        <v>8.3000000000000007</v>
      </c>
      <c r="I21">
        <v>8</v>
      </c>
      <c r="J21">
        <v>12</v>
      </c>
      <c r="K21">
        <f>SUM(Table2[[#This Row],[Insulin AM]:[Insulin PM]])</f>
        <v>20</v>
      </c>
    </row>
    <row r="22" spans="1:11" x14ac:dyDescent="0.3">
      <c r="A22" s="1">
        <v>45479</v>
      </c>
      <c r="B22" s="2">
        <v>75.599999999999994</v>
      </c>
      <c r="C22">
        <v>7.7</v>
      </c>
      <c r="D22" s="2">
        <f>AVERAGE(D18:D21)</f>
        <v>9.75</v>
      </c>
      <c r="E22">
        <v>8.1999999999999993</v>
      </c>
      <c r="F22">
        <v>10.199999999999999</v>
      </c>
      <c r="G22">
        <v>9</v>
      </c>
      <c r="H22">
        <v>5.6</v>
      </c>
      <c r="I22">
        <v>8</v>
      </c>
      <c r="J22">
        <v>12</v>
      </c>
      <c r="K22">
        <f>SUM(Table2[[#This Row],[Insulin AM]:[Insulin PM]])</f>
        <v>20</v>
      </c>
    </row>
    <row r="23" spans="1:11" x14ac:dyDescent="0.3">
      <c r="A23" s="1">
        <v>45480</v>
      </c>
      <c r="B23" s="2">
        <v>75.599999999999994</v>
      </c>
      <c r="C23">
        <v>6.1</v>
      </c>
      <c r="D23" s="2">
        <v>5.8</v>
      </c>
      <c r="E23">
        <v>7</v>
      </c>
      <c r="F23">
        <v>8.6999999999999993</v>
      </c>
      <c r="G23">
        <v>7.9</v>
      </c>
      <c r="H23">
        <v>6.9</v>
      </c>
      <c r="I23">
        <v>8</v>
      </c>
      <c r="J23">
        <v>12</v>
      </c>
      <c r="K23">
        <f>SUM(Table2[[#This Row],[Insulin AM]:[Insulin PM]])</f>
        <v>20</v>
      </c>
    </row>
    <row r="24" spans="1:11" x14ac:dyDescent="0.3">
      <c r="A24" s="1">
        <v>45481</v>
      </c>
      <c r="B24" s="2">
        <v>75</v>
      </c>
      <c r="C24">
        <v>7.5</v>
      </c>
      <c r="D24" s="2">
        <v>6.7</v>
      </c>
      <c r="E24">
        <v>9.8000000000000007</v>
      </c>
      <c r="F24">
        <v>9.5</v>
      </c>
      <c r="G24">
        <v>8.4</v>
      </c>
      <c r="H24">
        <v>5.2</v>
      </c>
      <c r="I24">
        <v>8</v>
      </c>
      <c r="J24">
        <v>10</v>
      </c>
      <c r="K24">
        <f>SUM(Table2[[#This Row],[Insulin AM]:[Insulin PM]])</f>
        <v>18</v>
      </c>
    </row>
    <row r="25" spans="1:11" x14ac:dyDescent="0.3">
      <c r="A25" s="1">
        <v>45482</v>
      </c>
      <c r="B25" s="2">
        <v>75.5</v>
      </c>
      <c r="C25">
        <v>6.8</v>
      </c>
      <c r="D25" s="2">
        <v>6.7</v>
      </c>
      <c r="E25">
        <v>8.4</v>
      </c>
      <c r="F25">
        <v>10.5</v>
      </c>
      <c r="G25">
        <v>9</v>
      </c>
      <c r="H25">
        <v>5.8</v>
      </c>
      <c r="I25">
        <v>10</v>
      </c>
      <c r="J25">
        <v>10</v>
      </c>
      <c r="K25">
        <f>SUM(Table2[[#This Row],[Insulin AM]:[Insulin PM]])</f>
        <v>20</v>
      </c>
    </row>
    <row r="26" spans="1:11" x14ac:dyDescent="0.3">
      <c r="A26" s="1">
        <v>45483</v>
      </c>
      <c r="B26" s="2">
        <v>75.8</v>
      </c>
      <c r="C26">
        <v>5.4</v>
      </c>
      <c r="D26" s="2">
        <v>7.5</v>
      </c>
      <c r="E26">
        <v>5.3</v>
      </c>
      <c r="F26">
        <v>9.3000000000000007</v>
      </c>
      <c r="G26">
        <v>4.9000000000000004</v>
      </c>
      <c r="H26">
        <v>7.7</v>
      </c>
      <c r="I26">
        <v>10</v>
      </c>
      <c r="J26">
        <v>10</v>
      </c>
      <c r="K26">
        <f>SUM(Table2[[#This Row],[Insulin AM]:[Insulin PM]])</f>
        <v>20</v>
      </c>
    </row>
    <row r="27" spans="1:11" x14ac:dyDescent="0.3">
      <c r="A27" s="1">
        <v>45484</v>
      </c>
      <c r="B27" s="2">
        <v>75.5</v>
      </c>
      <c r="C27">
        <v>6.9</v>
      </c>
      <c r="D27" s="2">
        <v>7.4</v>
      </c>
      <c r="E27">
        <v>4.5</v>
      </c>
      <c r="F27">
        <v>9.1999999999999993</v>
      </c>
      <c r="G27">
        <v>8.3000000000000007</v>
      </c>
      <c r="H27">
        <v>6.8</v>
      </c>
      <c r="I27">
        <v>10</v>
      </c>
      <c r="J27">
        <v>10</v>
      </c>
      <c r="K27">
        <f>SUM(Table2[[#This Row],[Insulin AM]:[Insulin PM]])</f>
        <v>20</v>
      </c>
    </row>
    <row r="28" spans="1:11" x14ac:dyDescent="0.3">
      <c r="A28" s="1">
        <v>45485</v>
      </c>
      <c r="B28" s="2">
        <v>75.599999999999994</v>
      </c>
      <c r="C28">
        <v>5.8</v>
      </c>
      <c r="D28" s="2">
        <v>8.1999999999999993</v>
      </c>
      <c r="E28">
        <v>8.1999999999999993</v>
      </c>
      <c r="F28">
        <v>9.8000000000000007</v>
      </c>
      <c r="G28">
        <v>5.4</v>
      </c>
      <c r="H28">
        <v>8.3000000000000007</v>
      </c>
      <c r="I28">
        <v>10</v>
      </c>
      <c r="J28">
        <v>10</v>
      </c>
      <c r="K28">
        <f>SUM(Table2[[#This Row],[Insulin AM]:[Insulin PM]])</f>
        <v>20</v>
      </c>
    </row>
    <row r="29" spans="1:11" x14ac:dyDescent="0.3">
      <c r="A29" s="1">
        <v>45486</v>
      </c>
      <c r="B29" s="2">
        <v>75.5</v>
      </c>
      <c r="C29">
        <v>7.5</v>
      </c>
      <c r="D29" s="2">
        <v>6.3</v>
      </c>
      <c r="E29">
        <v>4.4000000000000004</v>
      </c>
      <c r="F29">
        <v>6.2</v>
      </c>
      <c r="G29">
        <v>7.4</v>
      </c>
      <c r="H29">
        <v>4.5999999999999996</v>
      </c>
      <c r="I29">
        <v>10</v>
      </c>
      <c r="J29">
        <v>10</v>
      </c>
      <c r="K29">
        <f>SUM(Table2[[#This Row],[Insulin AM]:[Insulin PM]])</f>
        <v>20</v>
      </c>
    </row>
    <row r="30" spans="1:11" x14ac:dyDescent="0.3">
      <c r="A30" s="1">
        <v>45487</v>
      </c>
      <c r="B30" s="2">
        <v>76.3</v>
      </c>
      <c r="C30">
        <v>5.9</v>
      </c>
      <c r="D30" s="2">
        <v>4.8</v>
      </c>
      <c r="E30">
        <v>6.5</v>
      </c>
      <c r="F30">
        <v>5.0999999999999996</v>
      </c>
      <c r="G30">
        <v>7.5</v>
      </c>
      <c r="H30">
        <v>5.9</v>
      </c>
      <c r="I30">
        <v>10</v>
      </c>
      <c r="J30">
        <v>10</v>
      </c>
      <c r="K30">
        <f>SUM(Table2[[#This Row],[Insulin AM]:[Insulin PM]])</f>
        <v>20</v>
      </c>
    </row>
    <row r="31" spans="1:11" x14ac:dyDescent="0.3">
      <c r="A31" s="1">
        <v>45488</v>
      </c>
      <c r="B31" s="2">
        <v>76.2</v>
      </c>
      <c r="C31">
        <v>5.2</v>
      </c>
      <c r="D31" s="2">
        <v>5.6</v>
      </c>
      <c r="E31">
        <v>7.4</v>
      </c>
      <c r="F31">
        <v>7.3</v>
      </c>
      <c r="G31">
        <v>5.3</v>
      </c>
      <c r="H31">
        <v>7.3</v>
      </c>
      <c r="I31">
        <v>10</v>
      </c>
      <c r="J31">
        <v>10</v>
      </c>
      <c r="K31">
        <f>SUM(Table2[[#This Row],[Insulin AM]:[Insulin PM]])</f>
        <v>20</v>
      </c>
    </row>
    <row r="32" spans="1:11" x14ac:dyDescent="0.3">
      <c r="A32" s="1">
        <v>45489</v>
      </c>
      <c r="B32" s="2">
        <v>76.599999999999994</v>
      </c>
      <c r="C32">
        <v>6.4</v>
      </c>
      <c r="D32" s="2">
        <v>7.9</v>
      </c>
      <c r="E32">
        <v>5.5</v>
      </c>
      <c r="F32">
        <v>9.3000000000000007</v>
      </c>
      <c r="G32">
        <v>4.9000000000000004</v>
      </c>
      <c r="H32">
        <v>4.4000000000000004</v>
      </c>
      <c r="I32">
        <v>10</v>
      </c>
      <c r="J32">
        <v>10</v>
      </c>
      <c r="K32">
        <f>SUM(Table2[[#This Row],[Insulin AM]:[Insulin PM]])</f>
        <v>20</v>
      </c>
    </row>
    <row r="33" spans="1:11" x14ac:dyDescent="0.3">
      <c r="A33" s="1">
        <v>45490</v>
      </c>
      <c r="B33" s="2">
        <v>77</v>
      </c>
      <c r="C33">
        <v>5.4</v>
      </c>
      <c r="D33" s="2">
        <v>4.7</v>
      </c>
      <c r="E33">
        <v>7</v>
      </c>
      <c r="F33">
        <v>7.6</v>
      </c>
      <c r="G33">
        <v>4.0999999999999996</v>
      </c>
      <c r="H33">
        <v>6.1</v>
      </c>
      <c r="I33">
        <v>10</v>
      </c>
      <c r="J33">
        <v>10</v>
      </c>
      <c r="K33">
        <f>SUM(Table2[[#This Row],[Insulin AM]:[Insulin PM]])</f>
        <v>20</v>
      </c>
    </row>
    <row r="34" spans="1:11" x14ac:dyDescent="0.3">
      <c r="A34" s="1">
        <v>45491</v>
      </c>
      <c r="B34" s="2">
        <v>77.3</v>
      </c>
      <c r="C34">
        <v>4.4000000000000004</v>
      </c>
      <c r="D34" s="2">
        <v>4.5</v>
      </c>
      <c r="E34">
        <v>6.1</v>
      </c>
      <c r="F34">
        <v>7.7</v>
      </c>
      <c r="G34">
        <v>7.2</v>
      </c>
      <c r="H34">
        <v>7.7</v>
      </c>
      <c r="I34">
        <v>10</v>
      </c>
      <c r="J34">
        <v>10</v>
      </c>
      <c r="K34">
        <f>SUM(Table2[[#This Row],[Insulin AM]:[Insulin PM]])</f>
        <v>20</v>
      </c>
    </row>
    <row r="35" spans="1:11" x14ac:dyDescent="0.3">
      <c r="A35" s="1">
        <v>45492</v>
      </c>
      <c r="B35" s="2">
        <v>76.8</v>
      </c>
      <c r="C35">
        <v>5.0999999999999996</v>
      </c>
      <c r="D35" s="2">
        <v>4.5</v>
      </c>
      <c r="E35">
        <v>5.3</v>
      </c>
      <c r="F35">
        <v>9.6999999999999993</v>
      </c>
      <c r="G35">
        <v>4.9000000000000004</v>
      </c>
      <c r="H35">
        <v>6.5</v>
      </c>
      <c r="I35">
        <v>10</v>
      </c>
      <c r="J35">
        <v>8</v>
      </c>
      <c r="K35">
        <f>SUM(Table2[[#This Row],[Insulin AM]:[Insulin PM]])</f>
        <v>18</v>
      </c>
    </row>
    <row r="36" spans="1:11" x14ac:dyDescent="0.3">
      <c r="A36" s="1">
        <v>45493</v>
      </c>
      <c r="B36" s="2">
        <v>77.099999999999994</v>
      </c>
      <c r="C36">
        <v>4.7</v>
      </c>
      <c r="D36" s="2">
        <v>3.9</v>
      </c>
      <c r="E36">
        <v>3.9</v>
      </c>
      <c r="F36">
        <v>6.9</v>
      </c>
      <c r="G36">
        <v>4.8</v>
      </c>
      <c r="H36">
        <v>7.4</v>
      </c>
      <c r="I36">
        <v>10</v>
      </c>
      <c r="J36">
        <v>8</v>
      </c>
      <c r="K36">
        <f>SUM(Table2[[#This Row],[Insulin AM]:[Insulin PM]])</f>
        <v>18</v>
      </c>
    </row>
    <row r="37" spans="1:11" x14ac:dyDescent="0.3">
      <c r="A37" s="1">
        <v>45494</v>
      </c>
      <c r="B37" s="2">
        <v>78.2</v>
      </c>
      <c r="C37">
        <v>4.3</v>
      </c>
      <c r="D37" s="2">
        <v>5.8</v>
      </c>
      <c r="E37">
        <v>3.8</v>
      </c>
      <c r="F37">
        <v>10.7</v>
      </c>
      <c r="G37">
        <v>4.5</v>
      </c>
      <c r="H37">
        <v>5.5</v>
      </c>
      <c r="I37">
        <v>10</v>
      </c>
      <c r="J37">
        <v>8</v>
      </c>
      <c r="K37">
        <f>SUM(Table2[[#This Row],[Insulin AM]:[Insulin PM]])</f>
        <v>18</v>
      </c>
    </row>
    <row r="38" spans="1:11" x14ac:dyDescent="0.3">
      <c r="A38" s="1">
        <v>45495</v>
      </c>
      <c r="B38" s="2">
        <v>77.8</v>
      </c>
      <c r="C38">
        <v>5.6</v>
      </c>
      <c r="D38" s="2">
        <v>5.4</v>
      </c>
      <c r="E38">
        <v>5.8</v>
      </c>
      <c r="F38">
        <v>7.5</v>
      </c>
      <c r="G38">
        <v>4.3</v>
      </c>
      <c r="H38">
        <v>4.5999999999999996</v>
      </c>
      <c r="I38">
        <v>10</v>
      </c>
      <c r="J38">
        <v>8</v>
      </c>
      <c r="K38">
        <f>SUM(Table2[[#This Row],[Insulin AM]:[Insulin PM]])</f>
        <v>18</v>
      </c>
    </row>
    <row r="39" spans="1:11" x14ac:dyDescent="0.3">
      <c r="A39" s="1">
        <v>45496</v>
      </c>
      <c r="B39" s="2">
        <v>76.900000000000006</v>
      </c>
      <c r="C39">
        <v>4.8</v>
      </c>
      <c r="D39" s="2">
        <v>6.7</v>
      </c>
      <c r="E39">
        <v>7.2</v>
      </c>
      <c r="F39">
        <v>5.9</v>
      </c>
      <c r="G39">
        <v>6.9</v>
      </c>
      <c r="H39">
        <v>6</v>
      </c>
      <c r="I39">
        <v>10</v>
      </c>
      <c r="J39">
        <v>8</v>
      </c>
      <c r="K39">
        <f>SUM(Table2[[#This Row],[Insulin AM]:[Insulin PM]])</f>
        <v>18</v>
      </c>
    </row>
    <row r="40" spans="1:11" x14ac:dyDescent="0.3">
      <c r="A40" s="1">
        <v>45497</v>
      </c>
      <c r="B40" s="2">
        <v>77.8</v>
      </c>
      <c r="C40">
        <v>4.4000000000000004</v>
      </c>
      <c r="D40" s="2">
        <v>4.4000000000000004</v>
      </c>
      <c r="E40">
        <v>7.2</v>
      </c>
      <c r="F40">
        <v>8.8000000000000007</v>
      </c>
      <c r="G40">
        <v>3.8</v>
      </c>
      <c r="H40">
        <v>5</v>
      </c>
      <c r="I40">
        <v>10</v>
      </c>
      <c r="J40">
        <v>8</v>
      </c>
      <c r="K40">
        <f>SUM(Table2[[#This Row],[Insulin AM]:[Insulin PM]])</f>
        <v>18</v>
      </c>
    </row>
    <row r="41" spans="1:11" x14ac:dyDescent="0.3">
      <c r="A41" s="1">
        <v>45498</v>
      </c>
      <c r="B41" s="2">
        <v>77.3</v>
      </c>
      <c r="C41">
        <v>5.3</v>
      </c>
      <c r="D41" s="2">
        <v>6</v>
      </c>
      <c r="E41">
        <v>6.9</v>
      </c>
      <c r="F41">
        <v>8.6</v>
      </c>
      <c r="G41">
        <v>4.2</v>
      </c>
      <c r="H41">
        <v>5.0999999999999996</v>
      </c>
      <c r="I41">
        <v>10</v>
      </c>
      <c r="J41">
        <v>8</v>
      </c>
      <c r="K41">
        <f>SUM(Table2[[#This Row],[Insulin AM]:[Insulin PM]])</f>
        <v>18</v>
      </c>
    </row>
    <row r="42" spans="1:11" x14ac:dyDescent="0.3">
      <c r="A42" s="1">
        <v>45499</v>
      </c>
      <c r="B42" s="2">
        <v>78.3</v>
      </c>
      <c r="C42">
        <v>4.2</v>
      </c>
      <c r="D42" s="2">
        <v>5.5</v>
      </c>
      <c r="E42">
        <v>4.2</v>
      </c>
      <c r="F42">
        <v>4.8</v>
      </c>
      <c r="G42">
        <v>5.3</v>
      </c>
      <c r="H42">
        <v>7.4</v>
      </c>
      <c r="I42">
        <v>10</v>
      </c>
      <c r="J42">
        <v>8</v>
      </c>
      <c r="K42">
        <f>SUM(Table2[[#This Row],[Insulin AM]:[Insulin PM]])</f>
        <v>18</v>
      </c>
    </row>
    <row r="43" spans="1:11" x14ac:dyDescent="0.3">
      <c r="A43" s="1">
        <v>45500</v>
      </c>
      <c r="B43" s="2">
        <v>78</v>
      </c>
      <c r="C43">
        <v>4.7</v>
      </c>
      <c r="D43" s="2">
        <v>6.6</v>
      </c>
      <c r="E43">
        <v>4.7</v>
      </c>
      <c r="F43">
        <v>6.4</v>
      </c>
      <c r="G43">
        <v>6.4</v>
      </c>
      <c r="H43">
        <v>5.4</v>
      </c>
      <c r="I43">
        <v>10</v>
      </c>
      <c r="J43">
        <v>8</v>
      </c>
      <c r="K43">
        <f>SUM(Table2[[#This Row],[Insulin AM]:[Insulin PM]])</f>
        <v>18</v>
      </c>
    </row>
    <row r="44" spans="1:11" x14ac:dyDescent="0.3">
      <c r="A44" s="1">
        <v>45501</v>
      </c>
      <c r="B44" s="2">
        <v>78.599999999999994</v>
      </c>
      <c r="C44">
        <v>5.4</v>
      </c>
      <c r="D44" s="2">
        <v>4.5</v>
      </c>
      <c r="E44">
        <v>5.9</v>
      </c>
      <c r="F44">
        <v>8</v>
      </c>
      <c r="G44">
        <v>5.7</v>
      </c>
      <c r="H44">
        <v>5.3</v>
      </c>
      <c r="I44">
        <v>10</v>
      </c>
      <c r="J44">
        <v>8</v>
      </c>
      <c r="K44">
        <f>SUM(Table2[[#This Row],[Insulin AM]:[Insulin PM]])</f>
        <v>18</v>
      </c>
    </row>
    <row r="45" spans="1:11" x14ac:dyDescent="0.3">
      <c r="A45" s="1">
        <v>45502</v>
      </c>
      <c r="B45" s="2">
        <v>78.3</v>
      </c>
      <c r="C45">
        <v>5.5</v>
      </c>
      <c r="D45" s="2">
        <v>6.6</v>
      </c>
      <c r="E45">
        <v>6.1</v>
      </c>
      <c r="F45">
        <v>7.9</v>
      </c>
      <c r="G45">
        <v>6.3</v>
      </c>
      <c r="H45">
        <v>4.5999999999999996</v>
      </c>
      <c r="I45">
        <v>10</v>
      </c>
      <c r="J45">
        <v>8</v>
      </c>
      <c r="K45">
        <f>SUM(Table2[[#This Row],[Insulin AM]:[Insulin PM]])</f>
        <v>18</v>
      </c>
    </row>
    <row r="46" spans="1:11" x14ac:dyDescent="0.3">
      <c r="A46" s="1">
        <v>45503</v>
      </c>
      <c r="B46" s="2">
        <v>78.2</v>
      </c>
      <c r="C46">
        <v>5.9</v>
      </c>
      <c r="D46" s="2">
        <v>5.8</v>
      </c>
      <c r="E46">
        <v>7.8</v>
      </c>
      <c r="F46">
        <v>6.4</v>
      </c>
      <c r="G46">
        <v>4.9000000000000004</v>
      </c>
      <c r="H46">
        <v>6.5</v>
      </c>
      <c r="I46">
        <v>10</v>
      </c>
      <c r="J46">
        <v>8</v>
      </c>
      <c r="K46">
        <f>SUM(Table2[[#This Row],[Insulin AM]:[Insulin PM]])</f>
        <v>18</v>
      </c>
    </row>
    <row r="47" spans="1:11" x14ac:dyDescent="0.3">
      <c r="A47" s="1">
        <v>45504</v>
      </c>
      <c r="B47" s="2">
        <v>78.400000000000006</v>
      </c>
      <c r="C47">
        <v>6.2</v>
      </c>
      <c r="D47" s="2">
        <v>6.1</v>
      </c>
      <c r="E47">
        <v>6.1</v>
      </c>
      <c r="F47">
        <v>6.5</v>
      </c>
      <c r="G47">
        <v>4.8</v>
      </c>
      <c r="H47">
        <v>4.7</v>
      </c>
      <c r="I47">
        <v>10</v>
      </c>
      <c r="J47">
        <v>8</v>
      </c>
      <c r="K47">
        <f>SUM(Table2[[#This Row],[Insulin AM]:[Insulin PM]])</f>
        <v>18</v>
      </c>
    </row>
    <row r="48" spans="1:11" x14ac:dyDescent="0.3">
      <c r="A48" s="1">
        <v>45505</v>
      </c>
      <c r="B48" s="2">
        <v>79</v>
      </c>
      <c r="C48">
        <v>6.8</v>
      </c>
      <c r="D48" s="2">
        <v>6.7</v>
      </c>
      <c r="E48">
        <v>7</v>
      </c>
      <c r="F48">
        <v>9.3000000000000007</v>
      </c>
      <c r="G48">
        <v>4.9000000000000004</v>
      </c>
      <c r="H48">
        <v>6.8</v>
      </c>
      <c r="I48">
        <v>10</v>
      </c>
      <c r="J48">
        <v>8</v>
      </c>
      <c r="K48">
        <f>SUM(Table2[[#This Row],[Insulin AM]:[Insulin PM]])</f>
        <v>18</v>
      </c>
    </row>
    <row r="49" spans="1:30" x14ac:dyDescent="0.3">
      <c r="A49" s="1">
        <v>45506</v>
      </c>
      <c r="B49" s="2">
        <v>78.8</v>
      </c>
      <c r="C49">
        <v>5.5</v>
      </c>
      <c r="D49" s="2">
        <v>5.3</v>
      </c>
      <c r="E49">
        <v>6.2</v>
      </c>
      <c r="F49">
        <v>7.1</v>
      </c>
      <c r="G49">
        <v>5</v>
      </c>
      <c r="H49">
        <v>4.0999999999999996</v>
      </c>
      <c r="I49">
        <v>10</v>
      </c>
      <c r="J49">
        <v>8</v>
      </c>
      <c r="K49">
        <f>SUM(Table2[[#This Row],[Insulin AM]:[Insulin PM]])</f>
        <v>18</v>
      </c>
      <c r="AD49" t="s">
        <v>2</v>
      </c>
    </row>
    <row r="50" spans="1:30" x14ac:dyDescent="0.3">
      <c r="A50" s="1">
        <v>45507</v>
      </c>
      <c r="B50" s="2">
        <v>79.900000000000006</v>
      </c>
      <c r="C50">
        <v>4.4000000000000004</v>
      </c>
      <c r="D50" s="2">
        <v>6.9</v>
      </c>
      <c r="E50">
        <v>6.2</v>
      </c>
      <c r="F50">
        <v>5</v>
      </c>
      <c r="G50">
        <v>7</v>
      </c>
      <c r="H50">
        <v>5.7</v>
      </c>
      <c r="I50">
        <v>10</v>
      </c>
      <c r="J50">
        <v>8</v>
      </c>
      <c r="K50">
        <f>SUM(Table2[[#This Row],[Insulin AM]:[Insulin PM]])</f>
        <v>18</v>
      </c>
    </row>
    <row r="51" spans="1:30" x14ac:dyDescent="0.3">
      <c r="A51" s="1">
        <v>45508</v>
      </c>
      <c r="B51" s="2">
        <v>80.099999999999994</v>
      </c>
      <c r="C51">
        <v>4.7</v>
      </c>
      <c r="D51" s="2">
        <v>4</v>
      </c>
      <c r="E51">
        <v>5.9</v>
      </c>
      <c r="F51">
        <v>7.7</v>
      </c>
      <c r="G51">
        <v>4.5999999999999996</v>
      </c>
      <c r="H51">
        <v>5.6</v>
      </c>
      <c r="I51">
        <v>10</v>
      </c>
      <c r="J51">
        <v>8</v>
      </c>
      <c r="K51">
        <f>SUM(Table2[[#This Row],[Insulin AM]:[Insulin PM]])</f>
        <v>18</v>
      </c>
    </row>
    <row r="52" spans="1:30" x14ac:dyDescent="0.3">
      <c r="A52" s="1">
        <v>45509</v>
      </c>
      <c r="B52" s="2">
        <v>80.099999999999994</v>
      </c>
      <c r="C52">
        <v>5.0999999999999996</v>
      </c>
      <c r="D52" s="2">
        <v>4.2</v>
      </c>
      <c r="E52">
        <v>8.4</v>
      </c>
      <c r="F52">
        <v>4.9000000000000004</v>
      </c>
      <c r="G52">
        <v>5.9</v>
      </c>
      <c r="H52">
        <v>5.7</v>
      </c>
      <c r="I52">
        <v>10</v>
      </c>
      <c r="J52">
        <v>8</v>
      </c>
      <c r="K52">
        <f>SUM(Table2[[#This Row],[Insulin AM]:[Insulin PM]])</f>
        <v>18</v>
      </c>
    </row>
    <row r="53" spans="1:30" x14ac:dyDescent="0.3">
      <c r="A53" s="1">
        <v>45510</v>
      </c>
      <c r="B53" s="2">
        <v>79.400000000000006</v>
      </c>
      <c r="C53">
        <v>5.6</v>
      </c>
      <c r="D53" s="2">
        <v>5.0999999999999996</v>
      </c>
      <c r="E53">
        <v>6.2</v>
      </c>
      <c r="F53">
        <v>9.8000000000000007</v>
      </c>
      <c r="G53">
        <v>4.3</v>
      </c>
      <c r="H53">
        <v>4.7</v>
      </c>
      <c r="I53">
        <v>10</v>
      </c>
      <c r="J53">
        <v>8</v>
      </c>
      <c r="K53">
        <f>SUM(Table2[[#This Row],[Insulin AM]:[Insulin PM]])</f>
        <v>18</v>
      </c>
    </row>
    <row r="54" spans="1:30" x14ac:dyDescent="0.3">
      <c r="A54" s="1">
        <v>45511</v>
      </c>
      <c r="B54" s="2">
        <v>79.900000000000006</v>
      </c>
      <c r="C54" s="2">
        <v>4.2</v>
      </c>
      <c r="D54">
        <v>3.8</v>
      </c>
      <c r="E54" s="2">
        <v>6.3</v>
      </c>
      <c r="F54">
        <v>8.1999999999999993</v>
      </c>
      <c r="G54">
        <v>3.8</v>
      </c>
      <c r="H54">
        <v>6.7</v>
      </c>
      <c r="I54">
        <v>10</v>
      </c>
      <c r="J54">
        <v>8</v>
      </c>
      <c r="K54">
        <f>SUM(Table2[[#This Row],[Insulin AM]:[Insulin PM]])</f>
        <v>18</v>
      </c>
    </row>
    <row r="55" spans="1:30" x14ac:dyDescent="0.3">
      <c r="A55" s="1">
        <v>45512</v>
      </c>
      <c r="B55" s="2">
        <v>79.5</v>
      </c>
      <c r="C55">
        <v>5.2</v>
      </c>
      <c r="D55" s="2">
        <v>6.3</v>
      </c>
      <c r="E55">
        <v>7.5</v>
      </c>
      <c r="F55">
        <v>6.6</v>
      </c>
      <c r="G55">
        <v>5.8</v>
      </c>
      <c r="H55">
        <v>5</v>
      </c>
      <c r="I55">
        <v>10</v>
      </c>
      <c r="J55">
        <v>8</v>
      </c>
      <c r="K55">
        <f>SUM(Table2[[#This Row],[Insulin AM]:[Insulin PM]])</f>
        <v>18</v>
      </c>
    </row>
    <row r="56" spans="1:30" x14ac:dyDescent="0.3">
      <c r="A56" s="1">
        <v>45513</v>
      </c>
      <c r="B56" s="2">
        <v>79.8</v>
      </c>
      <c r="C56">
        <v>6.6</v>
      </c>
      <c r="D56" s="2">
        <v>7.3</v>
      </c>
      <c r="E56">
        <v>6.1</v>
      </c>
      <c r="F56">
        <v>7.8</v>
      </c>
      <c r="G56">
        <v>8.5</v>
      </c>
      <c r="H56">
        <v>8</v>
      </c>
      <c r="I56">
        <v>10</v>
      </c>
      <c r="J56">
        <v>8</v>
      </c>
      <c r="K56">
        <f>SUM(Table2[[#This Row],[Insulin AM]:[Insulin PM]])</f>
        <v>18</v>
      </c>
    </row>
    <row r="57" spans="1:30" x14ac:dyDescent="0.3">
      <c r="A57" s="1">
        <v>45514</v>
      </c>
      <c r="B57" s="2">
        <v>80.7</v>
      </c>
      <c r="C57">
        <v>5.7</v>
      </c>
      <c r="D57" s="2">
        <v>4.4000000000000004</v>
      </c>
      <c r="E57">
        <v>7.4</v>
      </c>
      <c r="F57">
        <v>6.6</v>
      </c>
      <c r="G57">
        <v>6.3</v>
      </c>
      <c r="H57">
        <v>6.3</v>
      </c>
      <c r="I57">
        <v>10</v>
      </c>
      <c r="J57">
        <v>8</v>
      </c>
      <c r="K57">
        <f>SUM(Table2[[#This Row],[Insulin AM]:[Insulin PM]])</f>
        <v>18</v>
      </c>
    </row>
    <row r="58" spans="1:30" x14ac:dyDescent="0.3">
      <c r="A58" s="1">
        <v>45515</v>
      </c>
      <c r="B58" s="2">
        <v>80.900000000000006</v>
      </c>
      <c r="C58">
        <v>5.9</v>
      </c>
      <c r="D58" s="2">
        <v>5.2</v>
      </c>
      <c r="E58">
        <v>4.8</v>
      </c>
      <c r="F58">
        <v>9</v>
      </c>
      <c r="G58">
        <v>5.7</v>
      </c>
      <c r="H58">
        <v>5.0999999999999996</v>
      </c>
      <c r="I58">
        <v>10</v>
      </c>
      <c r="J58">
        <v>8</v>
      </c>
      <c r="K58">
        <f>SUM(Table2[[#This Row],[Insulin AM]:[Insulin PM]])</f>
        <v>18</v>
      </c>
    </row>
    <row r="59" spans="1:30" x14ac:dyDescent="0.3">
      <c r="A59" s="1">
        <v>45516</v>
      </c>
      <c r="B59" s="2">
        <v>80.400000000000006</v>
      </c>
      <c r="C59">
        <v>4.7</v>
      </c>
      <c r="D59" s="2">
        <v>4.5999999999999996</v>
      </c>
      <c r="E59">
        <v>4.5999999999999996</v>
      </c>
      <c r="F59">
        <v>5.5</v>
      </c>
      <c r="G59">
        <v>6</v>
      </c>
      <c r="H59">
        <v>6.3</v>
      </c>
      <c r="I59">
        <v>10</v>
      </c>
      <c r="J59">
        <v>8</v>
      </c>
      <c r="K59">
        <f>SUM(Table2[[#This Row],[Insulin AM]:[Insulin PM]])</f>
        <v>18</v>
      </c>
    </row>
    <row r="60" spans="1:30" x14ac:dyDescent="0.3">
      <c r="A60" s="1">
        <v>45517</v>
      </c>
      <c r="B60" s="2">
        <v>80.900000000000006</v>
      </c>
      <c r="C60">
        <v>6</v>
      </c>
      <c r="D60" s="2">
        <v>7.8</v>
      </c>
      <c r="E60">
        <v>5.4</v>
      </c>
      <c r="F60">
        <v>7.4</v>
      </c>
      <c r="G60">
        <v>8.6999999999999993</v>
      </c>
      <c r="H60">
        <v>4.2</v>
      </c>
      <c r="I60">
        <v>10</v>
      </c>
      <c r="J60">
        <v>8</v>
      </c>
      <c r="K60">
        <f>SUM(Table2[[#This Row],[Insulin AM]:[Insulin PM]])</f>
        <v>18</v>
      </c>
    </row>
    <row r="61" spans="1:30" x14ac:dyDescent="0.3">
      <c r="A61" s="1">
        <v>45518</v>
      </c>
      <c r="B61" s="2">
        <v>79.900000000000006</v>
      </c>
      <c r="C61">
        <v>5.6</v>
      </c>
      <c r="D61" s="2">
        <v>5.8</v>
      </c>
      <c r="E61">
        <v>5.9</v>
      </c>
      <c r="F61">
        <v>5.5</v>
      </c>
      <c r="G61">
        <v>5.3</v>
      </c>
      <c r="H61">
        <v>10.5</v>
      </c>
      <c r="I61">
        <v>10</v>
      </c>
      <c r="J61">
        <v>8</v>
      </c>
      <c r="K61">
        <f>SUM(Table2[[#This Row],[Insulin AM]:[Insulin PM]])</f>
        <v>18</v>
      </c>
    </row>
    <row r="62" spans="1:30" x14ac:dyDescent="0.3">
      <c r="A62" s="1">
        <v>45519</v>
      </c>
      <c r="B62" s="2">
        <v>79.400000000000006</v>
      </c>
      <c r="C62">
        <v>5.7</v>
      </c>
      <c r="D62" s="2">
        <v>5.7</v>
      </c>
      <c r="E62">
        <v>7.8</v>
      </c>
      <c r="F62">
        <v>5.8</v>
      </c>
      <c r="G62">
        <v>7.9</v>
      </c>
      <c r="H62">
        <v>6.6</v>
      </c>
      <c r="I62">
        <v>10</v>
      </c>
      <c r="J62">
        <v>8</v>
      </c>
      <c r="K62">
        <f>SUM(Table2[[#This Row],[Insulin AM]:[Insulin PM]])</f>
        <v>18</v>
      </c>
    </row>
    <row r="63" spans="1:30" x14ac:dyDescent="0.3">
      <c r="A63" s="1">
        <v>45520</v>
      </c>
      <c r="B63" s="2">
        <v>79.900000000000006</v>
      </c>
      <c r="C63">
        <v>4.9000000000000004</v>
      </c>
      <c r="D63" s="2">
        <v>5.4</v>
      </c>
      <c r="E63">
        <v>5.8</v>
      </c>
      <c r="F63">
        <v>8</v>
      </c>
      <c r="G63">
        <v>7.5</v>
      </c>
      <c r="H63">
        <v>7.9</v>
      </c>
      <c r="I63">
        <v>10</v>
      </c>
      <c r="J63">
        <v>8</v>
      </c>
      <c r="K63">
        <f>SUM(Table2[[#This Row],[Insulin AM]:[Insulin PM]])</f>
        <v>18</v>
      </c>
    </row>
    <row r="64" spans="1:30" x14ac:dyDescent="0.3">
      <c r="A64" s="1">
        <v>45521</v>
      </c>
      <c r="B64" s="2">
        <v>80.5</v>
      </c>
      <c r="C64">
        <v>5.7</v>
      </c>
      <c r="D64" s="2">
        <v>7.2</v>
      </c>
      <c r="E64">
        <v>4.8</v>
      </c>
      <c r="F64">
        <v>5.6</v>
      </c>
      <c r="G64">
        <v>8.4</v>
      </c>
      <c r="H64">
        <v>5</v>
      </c>
      <c r="I64">
        <v>10</v>
      </c>
      <c r="J64">
        <v>8</v>
      </c>
      <c r="K64">
        <f>SUM(Table2[[#This Row],[Insulin AM]:[Insulin PM]])</f>
        <v>18</v>
      </c>
    </row>
    <row r="65" spans="1:11" x14ac:dyDescent="0.3">
      <c r="A65" s="1">
        <v>45522</v>
      </c>
      <c r="B65" s="2">
        <v>81</v>
      </c>
      <c r="C65">
        <v>4.9000000000000004</v>
      </c>
      <c r="D65" s="2">
        <v>4.9000000000000004</v>
      </c>
      <c r="E65">
        <v>6.3</v>
      </c>
      <c r="F65">
        <v>5.7</v>
      </c>
      <c r="G65">
        <v>9.9</v>
      </c>
      <c r="H65">
        <v>6.3</v>
      </c>
      <c r="I65">
        <v>10</v>
      </c>
      <c r="J65">
        <v>8</v>
      </c>
      <c r="K65">
        <f>SUM(Table2[[#This Row],[Insulin AM]:[Insulin PM]])</f>
        <v>18</v>
      </c>
    </row>
    <row r="66" spans="1:11" x14ac:dyDescent="0.3">
      <c r="A66" s="1">
        <v>45523</v>
      </c>
      <c r="B66" s="2">
        <v>81.3</v>
      </c>
      <c r="C66">
        <v>4.5999999999999996</v>
      </c>
      <c r="D66" s="2">
        <v>5.0999999999999996</v>
      </c>
      <c r="E66">
        <v>5.3</v>
      </c>
      <c r="F66">
        <v>4.9000000000000004</v>
      </c>
      <c r="G66">
        <v>5.3</v>
      </c>
      <c r="H66">
        <v>6.9</v>
      </c>
      <c r="I66">
        <v>10</v>
      </c>
      <c r="J66">
        <v>8</v>
      </c>
      <c r="K66">
        <f>SUM(Table2[[#This Row],[Insulin AM]:[Insulin PM]])</f>
        <v>18</v>
      </c>
    </row>
    <row r="67" spans="1:11" x14ac:dyDescent="0.3">
      <c r="A67" s="1">
        <v>45524</v>
      </c>
      <c r="B67" s="2">
        <v>80.2</v>
      </c>
      <c r="C67">
        <v>4.2</v>
      </c>
      <c r="D67" s="2">
        <v>5.6</v>
      </c>
      <c r="E67">
        <v>7.1</v>
      </c>
      <c r="F67">
        <v>8.5</v>
      </c>
      <c r="G67">
        <v>6.2</v>
      </c>
      <c r="H67">
        <v>6.5</v>
      </c>
      <c r="I67">
        <v>10</v>
      </c>
      <c r="J67">
        <v>8</v>
      </c>
      <c r="K67">
        <f>SUM(Table2[[#This Row],[Insulin AM]:[Insulin PM]])</f>
        <v>18</v>
      </c>
    </row>
    <row r="68" spans="1:11" x14ac:dyDescent="0.3">
      <c r="A68" s="1">
        <v>45525</v>
      </c>
      <c r="B68" s="2">
        <v>80.3</v>
      </c>
      <c r="C68">
        <v>4.3</v>
      </c>
      <c r="D68" s="2">
        <v>4</v>
      </c>
      <c r="E68">
        <v>4.9000000000000004</v>
      </c>
      <c r="F68">
        <v>7</v>
      </c>
      <c r="G68">
        <v>7.3</v>
      </c>
      <c r="H68">
        <v>6.8</v>
      </c>
      <c r="I68">
        <v>10</v>
      </c>
      <c r="J68">
        <v>8</v>
      </c>
      <c r="K68">
        <f>SUM(Table2[[#This Row],[Insulin AM]:[Insulin PM]])</f>
        <v>18</v>
      </c>
    </row>
    <row r="69" spans="1:11" x14ac:dyDescent="0.3">
      <c r="A69" s="1">
        <v>45526</v>
      </c>
      <c r="B69" s="2">
        <v>80.400000000000006</v>
      </c>
      <c r="C69">
        <v>5.4</v>
      </c>
      <c r="D69" s="2">
        <v>5.7</v>
      </c>
      <c r="E69">
        <v>6.7</v>
      </c>
      <c r="F69">
        <v>7</v>
      </c>
      <c r="G69">
        <v>4.3</v>
      </c>
      <c r="H69">
        <v>3.9</v>
      </c>
      <c r="I69">
        <v>10</v>
      </c>
      <c r="J69">
        <v>8</v>
      </c>
      <c r="K69">
        <f>SUM(Table2[[#This Row],[Insulin AM]:[Insulin PM]])</f>
        <v>18</v>
      </c>
    </row>
    <row r="70" spans="1:11" x14ac:dyDescent="0.3">
      <c r="A70" s="1">
        <v>45527</v>
      </c>
      <c r="B70" s="2">
        <v>81</v>
      </c>
      <c r="C70">
        <v>4.8</v>
      </c>
      <c r="D70" s="2">
        <v>3.8</v>
      </c>
      <c r="E70">
        <v>5.8</v>
      </c>
      <c r="F70">
        <v>5.8</v>
      </c>
      <c r="G70">
        <v>6.1</v>
      </c>
      <c r="H70">
        <v>6.4</v>
      </c>
      <c r="I70">
        <v>10</v>
      </c>
      <c r="J70">
        <v>8</v>
      </c>
      <c r="K70">
        <f>SUM(Table2[[#This Row],[Insulin AM]:[Insulin PM]])</f>
        <v>18</v>
      </c>
    </row>
    <row r="71" spans="1:11" x14ac:dyDescent="0.3">
      <c r="A71" s="1">
        <v>45528</v>
      </c>
      <c r="B71" s="2">
        <v>80.7</v>
      </c>
      <c r="C71">
        <v>4.2</v>
      </c>
      <c r="D71" s="2">
        <v>4.9000000000000004</v>
      </c>
      <c r="E71">
        <v>7</v>
      </c>
      <c r="F71">
        <v>5.8</v>
      </c>
      <c r="G71">
        <v>6.4</v>
      </c>
      <c r="H71">
        <v>7.7</v>
      </c>
      <c r="I71">
        <v>10</v>
      </c>
      <c r="J71">
        <v>8</v>
      </c>
      <c r="K71">
        <f>SUM(Table2[[#This Row],[Insulin AM]:[Insulin PM]])</f>
        <v>18</v>
      </c>
    </row>
    <row r="72" spans="1:11" x14ac:dyDescent="0.3">
      <c r="A72" s="1">
        <v>45529</v>
      </c>
      <c r="B72" s="2">
        <v>81.3</v>
      </c>
      <c r="C72">
        <v>5</v>
      </c>
      <c r="D72" s="2">
        <v>5.6</v>
      </c>
      <c r="E72">
        <v>5.0999999999999996</v>
      </c>
      <c r="F72">
        <v>5.3</v>
      </c>
      <c r="G72">
        <v>8.1999999999999993</v>
      </c>
      <c r="H72">
        <v>7.7</v>
      </c>
      <c r="I72">
        <v>10</v>
      </c>
      <c r="J72">
        <v>8</v>
      </c>
      <c r="K72">
        <f>SUM(Table2[[#This Row],[Insulin AM]:[Insulin PM]])</f>
        <v>18</v>
      </c>
    </row>
    <row r="73" spans="1:11" x14ac:dyDescent="0.3">
      <c r="A73" s="1">
        <v>45530</v>
      </c>
      <c r="B73" s="2">
        <v>82</v>
      </c>
      <c r="C73">
        <v>6.2</v>
      </c>
      <c r="D73" s="2">
        <v>7.4</v>
      </c>
      <c r="E73">
        <v>7</v>
      </c>
      <c r="F73">
        <v>6.5</v>
      </c>
      <c r="G73">
        <v>5.9</v>
      </c>
      <c r="H73">
        <v>4</v>
      </c>
      <c r="I73">
        <v>10</v>
      </c>
      <c r="J73">
        <v>8</v>
      </c>
      <c r="K73">
        <f>SUM(Table2[[#This Row],[Insulin AM]:[Insulin PM]])</f>
        <v>18</v>
      </c>
    </row>
    <row r="74" spans="1:11" x14ac:dyDescent="0.3">
      <c r="A74" s="1">
        <v>45531</v>
      </c>
      <c r="B74" s="2">
        <v>81.099999999999994</v>
      </c>
      <c r="C74">
        <v>5.8</v>
      </c>
      <c r="D74" s="2">
        <v>5.7</v>
      </c>
      <c r="E74">
        <v>6.3</v>
      </c>
      <c r="F74">
        <v>6.1</v>
      </c>
      <c r="G74">
        <v>7.2</v>
      </c>
      <c r="H74">
        <v>4.0999999999999996</v>
      </c>
      <c r="I74">
        <v>10</v>
      </c>
      <c r="J74">
        <v>8</v>
      </c>
      <c r="K74">
        <f>SUM(Table2[[#This Row],[Insulin AM]:[Insulin PM]])</f>
        <v>18</v>
      </c>
    </row>
    <row r="75" spans="1:11" x14ac:dyDescent="0.3">
      <c r="A75" s="1">
        <v>45532</v>
      </c>
      <c r="B75" s="2">
        <v>81.099999999999994</v>
      </c>
      <c r="C75">
        <v>5.5</v>
      </c>
      <c r="D75" s="2">
        <v>5.0999999999999996</v>
      </c>
      <c r="E75">
        <v>4.5999999999999996</v>
      </c>
      <c r="F75">
        <v>6</v>
      </c>
      <c r="G75">
        <v>11.3</v>
      </c>
      <c r="H75">
        <v>10.8</v>
      </c>
      <c r="I75">
        <v>10</v>
      </c>
      <c r="J75">
        <v>8</v>
      </c>
      <c r="K75">
        <f>SUM(Table2[[#This Row],[Insulin AM]:[Insulin PM]])</f>
        <v>18</v>
      </c>
    </row>
    <row r="76" spans="1:11" x14ac:dyDescent="0.3">
      <c r="A76" s="1">
        <v>45533</v>
      </c>
      <c r="B76" s="2">
        <v>81</v>
      </c>
      <c r="C76">
        <v>5.7</v>
      </c>
      <c r="D76" s="2">
        <v>5.9</v>
      </c>
      <c r="E76">
        <v>7</v>
      </c>
      <c r="F76">
        <v>6.5</v>
      </c>
      <c r="G76">
        <v>10.6</v>
      </c>
      <c r="H76">
        <v>3.8</v>
      </c>
      <c r="I76">
        <v>10</v>
      </c>
      <c r="J76">
        <v>8</v>
      </c>
      <c r="K76">
        <f>SUM(Table2[[#This Row],[Insulin AM]:[Insulin PM]])</f>
        <v>18</v>
      </c>
    </row>
    <row r="77" spans="1:11" x14ac:dyDescent="0.3">
      <c r="A77" s="1">
        <v>45534</v>
      </c>
      <c r="B77" s="2">
        <v>81.400000000000006</v>
      </c>
      <c r="C77">
        <v>5.9</v>
      </c>
      <c r="D77" s="2">
        <v>6.6</v>
      </c>
      <c r="E77">
        <v>5.8</v>
      </c>
      <c r="F77">
        <v>5.4</v>
      </c>
      <c r="G77">
        <v>11.3</v>
      </c>
      <c r="H77">
        <v>4.9000000000000004</v>
      </c>
      <c r="I77">
        <v>10</v>
      </c>
      <c r="J77">
        <v>8</v>
      </c>
      <c r="K77">
        <f>SUM(Table2[[#This Row],[Insulin AM]:[Insulin PM]])</f>
        <v>18</v>
      </c>
    </row>
    <row r="78" spans="1:11" x14ac:dyDescent="0.3">
      <c r="A78" s="1">
        <v>45535</v>
      </c>
      <c r="B78" s="2">
        <v>81.7</v>
      </c>
      <c r="C78">
        <v>6.4</v>
      </c>
      <c r="D78" s="2">
        <v>4.9000000000000004</v>
      </c>
      <c r="E78">
        <v>9.9</v>
      </c>
      <c r="F78">
        <v>8.3000000000000007</v>
      </c>
      <c r="G78">
        <v>5</v>
      </c>
      <c r="H78">
        <v>5.3</v>
      </c>
      <c r="I78">
        <v>10</v>
      </c>
      <c r="J78">
        <v>8</v>
      </c>
      <c r="K78">
        <f>SUM(Table2[[#This Row],[Insulin AM]:[Insulin PM]])</f>
        <v>18</v>
      </c>
    </row>
    <row r="79" spans="1:11" x14ac:dyDescent="0.3">
      <c r="A79" s="1">
        <v>45536</v>
      </c>
      <c r="B79" s="2">
        <v>81.2</v>
      </c>
      <c r="C79">
        <v>5.9</v>
      </c>
      <c r="D79" s="2">
        <v>5.7</v>
      </c>
      <c r="E79">
        <v>9.3000000000000007</v>
      </c>
      <c r="F79">
        <v>5.0999999999999996</v>
      </c>
      <c r="G79">
        <v>4.9000000000000004</v>
      </c>
      <c r="H79">
        <v>8.3000000000000007</v>
      </c>
      <c r="I79">
        <v>10</v>
      </c>
      <c r="J79">
        <v>8</v>
      </c>
      <c r="K79">
        <f>SUM(Table2[[#This Row],[Insulin AM]:[Insulin PM]])</f>
        <v>18</v>
      </c>
    </row>
    <row r="80" spans="1:11" x14ac:dyDescent="0.3">
      <c r="A80" s="1">
        <v>45537</v>
      </c>
      <c r="B80" s="2">
        <v>80.8</v>
      </c>
      <c r="C80">
        <v>6.4</v>
      </c>
      <c r="D80" s="2">
        <v>4.8</v>
      </c>
      <c r="E80">
        <v>6</v>
      </c>
      <c r="F80">
        <v>7.2</v>
      </c>
      <c r="G80">
        <v>5.8</v>
      </c>
      <c r="H80">
        <v>7.8</v>
      </c>
      <c r="I80">
        <v>10</v>
      </c>
      <c r="J80">
        <v>0</v>
      </c>
      <c r="K80">
        <f>SUM(Table2[[#This Row],[Insulin AM]:[Insulin PM]])</f>
        <v>10</v>
      </c>
    </row>
    <row r="81" spans="1:11" x14ac:dyDescent="0.3">
      <c r="A81" s="1">
        <v>45538</v>
      </c>
      <c r="B81" s="2">
        <v>80.400000000000006</v>
      </c>
      <c r="C81">
        <v>6.5</v>
      </c>
      <c r="D81" s="2">
        <v>7.4</v>
      </c>
      <c r="E81">
        <v>8.9</v>
      </c>
      <c r="F81">
        <v>5.8</v>
      </c>
      <c r="G81">
        <v>5.4</v>
      </c>
      <c r="H81">
        <v>6.8</v>
      </c>
      <c r="I81">
        <v>10</v>
      </c>
      <c r="J81">
        <v>8</v>
      </c>
      <c r="K81">
        <f>SUM(Table2[[#This Row],[Insulin AM]:[Insulin PM]])</f>
        <v>18</v>
      </c>
    </row>
    <row r="82" spans="1:11" x14ac:dyDescent="0.3">
      <c r="A82" s="1">
        <v>45539</v>
      </c>
      <c r="B82" s="2">
        <v>81.3</v>
      </c>
      <c r="C82">
        <v>5.3</v>
      </c>
      <c r="D82" s="2">
        <v>6.2</v>
      </c>
      <c r="E82">
        <v>4.8</v>
      </c>
      <c r="F82">
        <v>8.1999999999999993</v>
      </c>
      <c r="G82">
        <v>6.7</v>
      </c>
      <c r="H82">
        <v>6.2</v>
      </c>
      <c r="I82">
        <v>10</v>
      </c>
      <c r="J82">
        <v>8</v>
      </c>
      <c r="K82">
        <f>SUM(Table2[[#This Row],[Insulin AM]:[Insulin PM]])</f>
        <v>18</v>
      </c>
    </row>
    <row r="83" spans="1:11" x14ac:dyDescent="0.3">
      <c r="A83" s="1">
        <v>45540</v>
      </c>
      <c r="B83" s="2">
        <v>82.5</v>
      </c>
      <c r="C83">
        <v>5.3</v>
      </c>
      <c r="D83" s="2">
        <v>4.7</v>
      </c>
      <c r="E83">
        <v>6</v>
      </c>
      <c r="F83">
        <v>5.9</v>
      </c>
      <c r="G83">
        <v>3.8</v>
      </c>
      <c r="H83">
        <v>5.0999999999999996</v>
      </c>
      <c r="I83">
        <v>10</v>
      </c>
      <c r="J83">
        <v>0</v>
      </c>
      <c r="K83">
        <f>SUM(Table2[[#This Row],[Insulin AM]:[Insulin PM]])</f>
        <v>10</v>
      </c>
    </row>
    <row r="84" spans="1:11" x14ac:dyDescent="0.3">
      <c r="A84" s="1">
        <v>45541</v>
      </c>
      <c r="B84" s="2">
        <v>82.3</v>
      </c>
      <c r="C84">
        <v>4.3</v>
      </c>
      <c r="D84" s="2">
        <v>6.7</v>
      </c>
      <c r="E84">
        <v>5.0999999999999996</v>
      </c>
      <c r="F84">
        <v>5.5</v>
      </c>
      <c r="G84">
        <v>6.2</v>
      </c>
      <c r="H84">
        <v>5.5</v>
      </c>
      <c r="I84">
        <v>10</v>
      </c>
      <c r="J84">
        <v>8</v>
      </c>
      <c r="K84">
        <f>SUM(Table2[[#This Row],[Insulin AM]:[Insulin PM]])</f>
        <v>18</v>
      </c>
    </row>
    <row r="85" spans="1:11" x14ac:dyDescent="0.3">
      <c r="A85" s="1">
        <v>45542</v>
      </c>
      <c r="B85" s="2">
        <v>82.7</v>
      </c>
      <c r="C85">
        <v>6.1</v>
      </c>
      <c r="D85" s="2">
        <v>4.5</v>
      </c>
      <c r="E85">
        <v>6.3</v>
      </c>
      <c r="F85">
        <v>5.3</v>
      </c>
      <c r="G85">
        <v>5.8</v>
      </c>
      <c r="H85">
        <v>4.9000000000000004</v>
      </c>
      <c r="I85">
        <v>0</v>
      </c>
      <c r="J85">
        <v>4</v>
      </c>
      <c r="K85">
        <f>SUM(Table2[[#This Row],[Insulin AM]:[Insulin PM]])</f>
        <v>4</v>
      </c>
    </row>
    <row r="86" spans="1:11" x14ac:dyDescent="0.3">
      <c r="A86" s="1">
        <v>45543</v>
      </c>
      <c r="B86" s="2">
        <v>81</v>
      </c>
      <c r="C86">
        <v>6.5</v>
      </c>
      <c r="D86" s="2">
        <v>5.2</v>
      </c>
      <c r="E86">
        <v>7.3</v>
      </c>
      <c r="F86">
        <v>5.8</v>
      </c>
      <c r="G86">
        <v>4.5</v>
      </c>
      <c r="H86">
        <v>7.1</v>
      </c>
      <c r="I86">
        <v>10</v>
      </c>
      <c r="J86">
        <v>8</v>
      </c>
      <c r="K86">
        <f>SUM(Table2[[#This Row],[Insulin AM]:[Insulin PM]])</f>
        <v>18</v>
      </c>
    </row>
    <row r="87" spans="1:11" x14ac:dyDescent="0.3">
      <c r="A87" s="1">
        <v>45544</v>
      </c>
      <c r="B87" s="2">
        <v>81.2</v>
      </c>
      <c r="C87">
        <v>4.8</v>
      </c>
      <c r="D87" s="2">
        <v>4.7</v>
      </c>
      <c r="E87">
        <v>5.2</v>
      </c>
      <c r="F87">
        <v>8</v>
      </c>
      <c r="G87">
        <v>5.4</v>
      </c>
      <c r="H87">
        <v>5.8</v>
      </c>
      <c r="I87">
        <v>10</v>
      </c>
      <c r="J87">
        <v>0</v>
      </c>
      <c r="K87">
        <f>SUM(Table2[[#This Row],[Insulin AM]:[Insulin PM]])</f>
        <v>10</v>
      </c>
    </row>
    <row r="88" spans="1:11" x14ac:dyDescent="0.3">
      <c r="A88" s="1">
        <v>45545</v>
      </c>
      <c r="B88" s="2">
        <v>81.8</v>
      </c>
      <c r="C88">
        <v>5.9</v>
      </c>
      <c r="D88" s="2">
        <v>5.2</v>
      </c>
      <c r="E88">
        <v>5.5</v>
      </c>
      <c r="F88">
        <v>5.6</v>
      </c>
      <c r="G88">
        <v>5.6</v>
      </c>
      <c r="H88">
        <v>5.9</v>
      </c>
      <c r="I88">
        <v>10</v>
      </c>
      <c r="J88">
        <v>4</v>
      </c>
      <c r="K88">
        <f>SUM(Table2[[#This Row],[Insulin AM]:[Insulin PM]])</f>
        <v>14</v>
      </c>
    </row>
    <row r="89" spans="1:11" x14ac:dyDescent="0.3">
      <c r="A89" s="1">
        <v>45546</v>
      </c>
      <c r="B89" s="2">
        <v>81.3</v>
      </c>
      <c r="C89">
        <v>5.7</v>
      </c>
      <c r="D89" s="2">
        <v>6.4</v>
      </c>
      <c r="E89">
        <v>8.9</v>
      </c>
      <c r="F89">
        <v>8</v>
      </c>
      <c r="G89">
        <v>6.4</v>
      </c>
      <c r="H89">
        <v>7</v>
      </c>
      <c r="I89">
        <v>10</v>
      </c>
      <c r="J89">
        <v>0</v>
      </c>
      <c r="K89">
        <f>SUM(Table2[[#This Row],[Insulin AM]:[Insulin PM]])</f>
        <v>10</v>
      </c>
    </row>
    <row r="90" spans="1:11" x14ac:dyDescent="0.3">
      <c r="A90" s="1">
        <v>45547</v>
      </c>
      <c r="B90" s="2">
        <v>81.3</v>
      </c>
      <c r="C90">
        <v>5.9</v>
      </c>
      <c r="D90" s="2">
        <v>4</v>
      </c>
      <c r="E90">
        <v>7</v>
      </c>
      <c r="F90">
        <v>7</v>
      </c>
      <c r="G90">
        <v>7.1</v>
      </c>
      <c r="H90">
        <v>6.5</v>
      </c>
      <c r="I90">
        <v>10</v>
      </c>
      <c r="J90">
        <v>6</v>
      </c>
      <c r="K90">
        <f>SUM(Table2[[#This Row],[Insulin AM]:[Insulin PM]])</f>
        <v>16</v>
      </c>
    </row>
    <row r="91" spans="1:11" x14ac:dyDescent="0.3">
      <c r="A91" s="1">
        <v>45548</v>
      </c>
      <c r="B91" s="2">
        <v>82.5</v>
      </c>
      <c r="C91">
        <v>6.7</v>
      </c>
      <c r="D91" s="2">
        <v>6</v>
      </c>
      <c r="E91">
        <v>5.4</v>
      </c>
      <c r="F91">
        <v>6.1</v>
      </c>
      <c r="G91">
        <v>5.2</v>
      </c>
      <c r="H91">
        <v>5.4</v>
      </c>
      <c r="I91">
        <v>10</v>
      </c>
      <c r="J91">
        <v>8</v>
      </c>
      <c r="K91">
        <f>SUM(Table2[[#This Row],[Insulin AM]:[Insulin PM]])</f>
        <v>18</v>
      </c>
    </row>
    <row r="92" spans="1:11" x14ac:dyDescent="0.3">
      <c r="A92" s="1">
        <v>45549</v>
      </c>
      <c r="B92" s="2">
        <v>82</v>
      </c>
      <c r="C92">
        <v>6.2</v>
      </c>
      <c r="D92" s="2">
        <v>6.1</v>
      </c>
      <c r="E92">
        <v>6.8</v>
      </c>
      <c r="F92">
        <v>5.7</v>
      </c>
      <c r="G92">
        <v>4.9000000000000004</v>
      </c>
      <c r="H92">
        <v>7.6</v>
      </c>
      <c r="I92">
        <v>10</v>
      </c>
      <c r="J92">
        <v>8</v>
      </c>
      <c r="K92">
        <f>SUM(Table2[[#This Row],[Insulin AM]:[Insulin PM]])</f>
        <v>18</v>
      </c>
    </row>
    <row r="93" spans="1:11" x14ac:dyDescent="0.3">
      <c r="A93" s="1">
        <v>45550</v>
      </c>
      <c r="B93" s="2">
        <v>81.8</v>
      </c>
      <c r="C93">
        <v>6.7</v>
      </c>
      <c r="D93" s="2">
        <v>6.4</v>
      </c>
      <c r="E93">
        <v>5.0999999999999996</v>
      </c>
      <c r="F93">
        <v>6.1</v>
      </c>
      <c r="G93">
        <v>6.1</v>
      </c>
      <c r="H93">
        <v>7.1</v>
      </c>
      <c r="I93">
        <v>10</v>
      </c>
      <c r="J93">
        <v>8</v>
      </c>
      <c r="K93">
        <f>SUM(Table2[[#This Row],[Insulin AM]:[Insulin PM]])</f>
        <v>18</v>
      </c>
    </row>
    <row r="94" spans="1:11" x14ac:dyDescent="0.3">
      <c r="A94" s="1">
        <v>45551</v>
      </c>
      <c r="B94" s="2">
        <v>82</v>
      </c>
      <c r="C94">
        <v>6.1</v>
      </c>
      <c r="D94" s="2">
        <v>6.5</v>
      </c>
      <c r="E94">
        <v>5.6</v>
      </c>
      <c r="F94">
        <v>8</v>
      </c>
      <c r="G94">
        <v>4.4000000000000004</v>
      </c>
      <c r="H94">
        <v>9.9</v>
      </c>
      <c r="I94">
        <v>10</v>
      </c>
      <c r="J94">
        <v>0</v>
      </c>
      <c r="K94">
        <f>SUM(Table2[[#This Row],[Insulin AM]:[Insulin PM]])</f>
        <v>10</v>
      </c>
    </row>
    <row r="95" spans="1:11" x14ac:dyDescent="0.3">
      <c r="A95" s="1">
        <v>45552</v>
      </c>
      <c r="B95" s="2">
        <v>81.5</v>
      </c>
      <c r="C95">
        <v>5.2</v>
      </c>
      <c r="D95" s="2">
        <v>5.6</v>
      </c>
      <c r="E95">
        <v>4.8</v>
      </c>
      <c r="F95">
        <v>9.6</v>
      </c>
      <c r="G95">
        <v>5</v>
      </c>
      <c r="H95">
        <v>7.8</v>
      </c>
      <c r="I95">
        <v>10</v>
      </c>
      <c r="J95">
        <v>8</v>
      </c>
      <c r="K95">
        <f>SUM(Table2[[#This Row],[Insulin AM]:[Insulin PM]])</f>
        <v>18</v>
      </c>
    </row>
    <row r="96" spans="1:11" x14ac:dyDescent="0.3">
      <c r="A96" s="1">
        <v>45553</v>
      </c>
      <c r="B96" s="2">
        <v>81.5</v>
      </c>
      <c r="C96">
        <v>5.9</v>
      </c>
      <c r="D96" s="2">
        <v>7</v>
      </c>
      <c r="E96">
        <v>6.8</v>
      </c>
      <c r="F96">
        <v>7.2</v>
      </c>
      <c r="G96">
        <v>6.6</v>
      </c>
      <c r="H96">
        <v>11</v>
      </c>
      <c r="I96">
        <v>10</v>
      </c>
      <c r="J96">
        <v>8</v>
      </c>
      <c r="K96">
        <f>SUM(Table2[[#This Row],[Insulin AM]:[Insulin PM]])</f>
        <v>18</v>
      </c>
    </row>
    <row r="97" spans="1:11" x14ac:dyDescent="0.3">
      <c r="A97" s="1">
        <v>45554</v>
      </c>
      <c r="B97" s="2">
        <v>81</v>
      </c>
      <c r="C97">
        <v>6.7</v>
      </c>
      <c r="D97" s="2">
        <v>6.5</v>
      </c>
      <c r="E97">
        <v>8.9</v>
      </c>
      <c r="F97">
        <v>6.1</v>
      </c>
      <c r="G97">
        <v>6.1</v>
      </c>
      <c r="H97">
        <v>6.3</v>
      </c>
      <c r="I97">
        <v>10</v>
      </c>
      <c r="J97">
        <v>0</v>
      </c>
      <c r="K97">
        <f>SUM(Table2[[#This Row],[Insulin AM]:[Insulin PM]])</f>
        <v>10</v>
      </c>
    </row>
    <row r="98" spans="1:11" x14ac:dyDescent="0.3">
      <c r="A98" s="1">
        <v>45555</v>
      </c>
      <c r="B98" s="2">
        <v>80.900000000000006</v>
      </c>
      <c r="C98">
        <v>5.0999999999999996</v>
      </c>
      <c r="D98" s="2">
        <v>6.1</v>
      </c>
      <c r="E98">
        <v>6.3</v>
      </c>
      <c r="F98">
        <v>4.3</v>
      </c>
      <c r="G98">
        <v>5.9</v>
      </c>
      <c r="H98">
        <v>4.9000000000000004</v>
      </c>
      <c r="I98">
        <v>10</v>
      </c>
      <c r="J98">
        <v>8</v>
      </c>
      <c r="K98">
        <f>SUM(Table2[[#This Row],[Insulin AM]:[Insulin PM]])</f>
        <v>18</v>
      </c>
    </row>
    <row r="99" spans="1:11" x14ac:dyDescent="0.3">
      <c r="A99" s="1">
        <v>45556</v>
      </c>
      <c r="B99" s="2">
        <v>80.7</v>
      </c>
      <c r="C99">
        <v>5.0999999999999996</v>
      </c>
      <c r="D99" s="2">
        <v>5.8</v>
      </c>
      <c r="E99">
        <v>7.3</v>
      </c>
      <c r="F99">
        <v>6.5</v>
      </c>
      <c r="G99">
        <v>4.9000000000000004</v>
      </c>
      <c r="H99">
        <v>4.9000000000000004</v>
      </c>
      <c r="I99">
        <v>10</v>
      </c>
      <c r="J99">
        <v>8</v>
      </c>
      <c r="K99">
        <f>SUM(Table2[[#This Row],[Insulin AM]:[Insulin PM]])</f>
        <v>18</v>
      </c>
    </row>
    <row r="100" spans="1:11" x14ac:dyDescent="0.3">
      <c r="A100" s="1">
        <v>45557</v>
      </c>
      <c r="B100" s="2">
        <v>80.599999999999994</v>
      </c>
      <c r="C100">
        <v>5.2</v>
      </c>
      <c r="D100" s="2">
        <v>5.9</v>
      </c>
      <c r="E100">
        <v>5.0999999999999996</v>
      </c>
      <c r="F100">
        <v>6.2</v>
      </c>
      <c r="G100">
        <v>6.9</v>
      </c>
      <c r="H100">
        <v>6.9</v>
      </c>
      <c r="I100">
        <v>10</v>
      </c>
      <c r="J100">
        <v>6</v>
      </c>
      <c r="K100">
        <f>SUM(Table2[[#This Row],[Insulin AM]:[Insulin PM]])</f>
        <v>16</v>
      </c>
    </row>
    <row r="101" spans="1:11" x14ac:dyDescent="0.3">
      <c r="A101" s="1">
        <v>45558</v>
      </c>
      <c r="B101" s="2">
        <v>81.2</v>
      </c>
      <c r="C101">
        <v>6.3</v>
      </c>
      <c r="D101" s="2">
        <v>7.5</v>
      </c>
      <c r="E101">
        <v>8</v>
      </c>
      <c r="F101">
        <v>5.8</v>
      </c>
      <c r="G101">
        <v>5.2</v>
      </c>
      <c r="H101">
        <v>6.9</v>
      </c>
      <c r="I101">
        <v>10</v>
      </c>
      <c r="J101">
        <v>8</v>
      </c>
      <c r="K101">
        <f>SUM(Table2[[#This Row],[Insulin AM]:[Insulin PM]])</f>
        <v>18</v>
      </c>
    </row>
    <row r="102" spans="1:11" x14ac:dyDescent="0.3">
      <c r="A102" s="1">
        <v>45559</v>
      </c>
      <c r="B102" s="2">
        <v>81.400000000000006</v>
      </c>
      <c r="C102">
        <v>4.8</v>
      </c>
      <c r="D102" s="2">
        <v>5.8</v>
      </c>
      <c r="E102">
        <v>8.4</v>
      </c>
      <c r="F102">
        <v>13.5</v>
      </c>
      <c r="G102">
        <v>6.1</v>
      </c>
      <c r="H102">
        <v>6</v>
      </c>
      <c r="I102">
        <v>10</v>
      </c>
      <c r="J102">
        <v>8</v>
      </c>
      <c r="K102" s="3">
        <f>SUM(Table2[[#This Row],[Insulin AM]:[Insulin PM]])</f>
        <v>18</v>
      </c>
    </row>
    <row r="103" spans="1:11" x14ac:dyDescent="0.3">
      <c r="A103" s="1">
        <v>45560</v>
      </c>
      <c r="B103" s="2">
        <v>82.1</v>
      </c>
      <c r="C103">
        <v>6.6</v>
      </c>
      <c r="D103" s="2">
        <v>9.1999999999999993</v>
      </c>
      <c r="E103">
        <v>8.3000000000000007</v>
      </c>
      <c r="F103">
        <v>6.5</v>
      </c>
      <c r="G103">
        <v>7.1</v>
      </c>
      <c r="H103">
        <v>5.3</v>
      </c>
      <c r="I103">
        <v>10</v>
      </c>
      <c r="J103">
        <v>8</v>
      </c>
      <c r="K103" s="3">
        <f>SUM(Table2[[#This Row],[Insulin AM]:[Insulin PM]])</f>
        <v>18</v>
      </c>
    </row>
    <row r="104" spans="1:11" x14ac:dyDescent="0.3">
      <c r="A104" s="1">
        <v>45561</v>
      </c>
      <c r="B104" s="2">
        <v>81.900000000000006</v>
      </c>
      <c r="C104">
        <v>4.5999999999999996</v>
      </c>
      <c r="D104" s="2">
        <v>4.5999999999999996</v>
      </c>
      <c r="E104">
        <v>7.8</v>
      </c>
      <c r="F104">
        <v>6.4</v>
      </c>
      <c r="G104">
        <v>5.2</v>
      </c>
      <c r="H104">
        <v>5.5</v>
      </c>
      <c r="I104">
        <v>10</v>
      </c>
      <c r="J104">
        <v>8</v>
      </c>
      <c r="K104" s="3">
        <f>SUM(Table2[[#This Row],[Insulin AM]:[Insulin PM]])</f>
        <v>18</v>
      </c>
    </row>
    <row r="105" spans="1:11" x14ac:dyDescent="0.3">
      <c r="A105" s="1">
        <v>45562</v>
      </c>
      <c r="B105" s="2">
        <v>81.3</v>
      </c>
      <c r="C105">
        <v>4.9000000000000004</v>
      </c>
      <c r="D105" s="2">
        <v>3.6</v>
      </c>
      <c r="E105">
        <v>6.1</v>
      </c>
      <c r="F105">
        <v>6.1</v>
      </c>
      <c r="G105">
        <v>7.9</v>
      </c>
      <c r="H105">
        <v>5.7</v>
      </c>
      <c r="I105">
        <v>10</v>
      </c>
      <c r="J105">
        <v>8</v>
      </c>
      <c r="K105" s="3">
        <f>SUM(Table2[[#This Row],[Insulin AM]:[Insulin PM]])</f>
        <v>18</v>
      </c>
    </row>
    <row r="106" spans="1:11" x14ac:dyDescent="0.3">
      <c r="A106" s="1">
        <v>45563</v>
      </c>
      <c r="B106" s="2">
        <v>81.3</v>
      </c>
      <c r="C106">
        <v>5.7</v>
      </c>
      <c r="D106" s="2">
        <v>5.4</v>
      </c>
      <c r="E106">
        <v>6</v>
      </c>
      <c r="F106">
        <v>6</v>
      </c>
      <c r="G106">
        <v>6</v>
      </c>
      <c r="H106">
        <v>7.7</v>
      </c>
      <c r="I106">
        <v>10</v>
      </c>
      <c r="J106">
        <v>8</v>
      </c>
      <c r="K106" s="3">
        <f>SUM(Table2[[#This Row],[Insulin AM]:[Insulin PM]])</f>
        <v>18</v>
      </c>
    </row>
    <row r="107" spans="1:11" x14ac:dyDescent="0.3">
      <c r="A107" s="1">
        <v>45564</v>
      </c>
      <c r="B107" s="2">
        <v>81.3</v>
      </c>
      <c r="C107">
        <v>6.1</v>
      </c>
      <c r="D107" s="2">
        <v>6.7</v>
      </c>
      <c r="E107">
        <v>8</v>
      </c>
      <c r="F107">
        <v>9</v>
      </c>
      <c r="G107">
        <v>8.3000000000000007</v>
      </c>
      <c r="H107">
        <v>5.0999999999999996</v>
      </c>
      <c r="I107">
        <v>10</v>
      </c>
      <c r="J107">
        <v>8</v>
      </c>
      <c r="K107" s="3">
        <f>SUM(Table2[[#This Row],[Insulin AM]:[Insulin PM]])</f>
        <v>18</v>
      </c>
    </row>
    <row r="108" spans="1:11" x14ac:dyDescent="0.3">
      <c r="A108" s="1">
        <v>45565</v>
      </c>
      <c r="B108" s="2">
        <v>80.8</v>
      </c>
      <c r="C108">
        <v>5.7</v>
      </c>
      <c r="D108" s="2">
        <v>6.5</v>
      </c>
      <c r="E108">
        <v>7.4</v>
      </c>
      <c r="F108">
        <v>10</v>
      </c>
      <c r="G108">
        <v>6.1</v>
      </c>
      <c r="H108">
        <v>7.3</v>
      </c>
      <c r="I108">
        <v>10</v>
      </c>
      <c r="J108">
        <v>8</v>
      </c>
      <c r="K108" s="3">
        <f>SUM(Table2[[#This Row],[Insulin AM]:[Insulin PM]])</f>
        <v>18</v>
      </c>
    </row>
    <row r="109" spans="1:11" x14ac:dyDescent="0.3">
      <c r="A109" s="1">
        <v>45566</v>
      </c>
      <c r="B109" s="2">
        <v>81.7</v>
      </c>
      <c r="C109">
        <v>5.8</v>
      </c>
      <c r="D109" s="2">
        <v>5.8</v>
      </c>
      <c r="E109">
        <v>6.6</v>
      </c>
      <c r="F109">
        <v>9.3000000000000007</v>
      </c>
      <c r="G109">
        <v>5.3</v>
      </c>
      <c r="H109">
        <v>8.5</v>
      </c>
      <c r="I109">
        <v>10</v>
      </c>
      <c r="J109">
        <v>8</v>
      </c>
      <c r="K109" s="3">
        <f>SUM(Table2[[#This Row],[Insulin AM]:[Insulin PM]])</f>
        <v>18</v>
      </c>
    </row>
    <row r="110" spans="1:11" x14ac:dyDescent="0.3">
      <c r="A110" s="1">
        <v>45567</v>
      </c>
      <c r="B110" s="2">
        <v>82.1</v>
      </c>
      <c r="C110">
        <v>6.8</v>
      </c>
      <c r="D110" s="2">
        <v>6.8</v>
      </c>
      <c r="E110">
        <v>8.1999999999999993</v>
      </c>
      <c r="F110">
        <v>6</v>
      </c>
      <c r="G110">
        <v>7</v>
      </c>
      <c r="H110">
        <v>8.4</v>
      </c>
      <c r="I110">
        <v>10</v>
      </c>
      <c r="J110">
        <v>8</v>
      </c>
      <c r="K110" s="3">
        <f>SUM(Table2[[#This Row],[Insulin AM]:[Insulin PM]])</f>
        <v>18</v>
      </c>
    </row>
    <row r="111" spans="1:11" x14ac:dyDescent="0.3">
      <c r="A111" s="1">
        <v>45568</v>
      </c>
      <c r="B111" s="2">
        <v>82.9</v>
      </c>
      <c r="C111">
        <v>5.9</v>
      </c>
      <c r="D111" s="2">
        <v>5.2</v>
      </c>
      <c r="E111">
        <v>7.7</v>
      </c>
      <c r="F111">
        <v>5.2</v>
      </c>
      <c r="G111">
        <v>7.4</v>
      </c>
      <c r="H111">
        <v>4.3</v>
      </c>
      <c r="I111">
        <v>10</v>
      </c>
      <c r="J111">
        <v>8</v>
      </c>
      <c r="K111" s="3">
        <f>SUM(Table2[[#This Row],[Insulin AM]:[Insulin PM]])</f>
        <v>18</v>
      </c>
    </row>
    <row r="112" spans="1:11" x14ac:dyDescent="0.3">
      <c r="A112" s="1">
        <v>45569</v>
      </c>
      <c r="B112" s="2">
        <v>82.1</v>
      </c>
      <c r="C112">
        <v>4.9000000000000004</v>
      </c>
      <c r="D112" s="2">
        <v>5.6</v>
      </c>
      <c r="E112">
        <v>6</v>
      </c>
      <c r="F112">
        <v>7.8</v>
      </c>
      <c r="G112">
        <v>9</v>
      </c>
      <c r="H112">
        <v>5.4</v>
      </c>
      <c r="I112">
        <v>10</v>
      </c>
      <c r="J112">
        <v>8</v>
      </c>
      <c r="K112" s="3">
        <f>SUM(Table2[[#This Row],[Insulin AM]:[Insulin PM]])</f>
        <v>18</v>
      </c>
    </row>
    <row r="113" spans="1:11" x14ac:dyDescent="0.3">
      <c r="A113" s="1">
        <v>45570</v>
      </c>
      <c r="B113" s="2">
        <v>82.6</v>
      </c>
      <c r="C113">
        <v>5.7</v>
      </c>
      <c r="D113" s="2">
        <v>7.1</v>
      </c>
      <c r="E113">
        <v>11.1</v>
      </c>
      <c r="F113">
        <v>4.9000000000000004</v>
      </c>
      <c r="G113">
        <v>7.1</v>
      </c>
      <c r="H113">
        <v>5</v>
      </c>
      <c r="I113">
        <v>10</v>
      </c>
      <c r="J113">
        <v>8</v>
      </c>
      <c r="K113" s="3">
        <f>SUM(Table2[[#This Row],[Insulin AM]:[Insulin PM]])</f>
        <v>18</v>
      </c>
    </row>
    <row r="114" spans="1:11" x14ac:dyDescent="0.3">
      <c r="A114" s="1">
        <v>45571</v>
      </c>
      <c r="B114" s="2">
        <v>82.2</v>
      </c>
      <c r="C114">
        <v>6.4</v>
      </c>
      <c r="D114" s="2">
        <v>6.2</v>
      </c>
      <c r="E114">
        <v>6</v>
      </c>
      <c r="F114">
        <v>6.5</v>
      </c>
      <c r="G114">
        <v>6.2</v>
      </c>
      <c r="H114">
        <v>5.8</v>
      </c>
      <c r="I114">
        <v>10</v>
      </c>
      <c r="J114">
        <v>8</v>
      </c>
      <c r="K114" s="3">
        <f>SUM(Table2[[#This Row],[Insulin AM]:[Insulin PM]])</f>
        <v>18</v>
      </c>
    </row>
    <row r="115" spans="1:11" x14ac:dyDescent="0.3">
      <c r="A115" s="1">
        <v>45572</v>
      </c>
      <c r="B115" s="2">
        <v>82.1</v>
      </c>
      <c r="C115">
        <v>4.2</v>
      </c>
      <c r="D115" s="2">
        <v>7.2</v>
      </c>
      <c r="E115">
        <v>5.5</v>
      </c>
      <c r="F115">
        <v>6.4</v>
      </c>
      <c r="G115">
        <v>5.2</v>
      </c>
      <c r="H115">
        <v>7.3</v>
      </c>
      <c r="I115">
        <v>10</v>
      </c>
      <c r="J115">
        <v>8</v>
      </c>
      <c r="K115" s="3">
        <f>SUM(Table2[[#This Row],[Insulin AM]:[Insulin PM]])</f>
        <v>18</v>
      </c>
    </row>
    <row r="116" spans="1:11" x14ac:dyDescent="0.3">
      <c r="A116" s="1">
        <v>45573</v>
      </c>
      <c r="B116" s="2">
        <v>81.599999999999994</v>
      </c>
      <c r="C116">
        <v>5.2</v>
      </c>
      <c r="D116" s="2">
        <v>6.1</v>
      </c>
      <c r="E116">
        <v>6.1</v>
      </c>
      <c r="F116">
        <v>5.4</v>
      </c>
      <c r="G116">
        <v>5.9</v>
      </c>
      <c r="H116">
        <v>5</v>
      </c>
      <c r="I116">
        <v>10</v>
      </c>
      <c r="J116">
        <v>8</v>
      </c>
      <c r="K116" s="3">
        <f>SUM(Table2[[#This Row],[Insulin AM]:[Insulin PM]])</f>
        <v>18</v>
      </c>
    </row>
    <row r="117" spans="1:11" x14ac:dyDescent="0.3">
      <c r="A117" s="1">
        <v>45574</v>
      </c>
      <c r="B117" s="2">
        <v>80.900000000000006</v>
      </c>
      <c r="C117">
        <v>4.5999999999999996</v>
      </c>
      <c r="D117" s="2">
        <v>4.9000000000000004</v>
      </c>
      <c r="E117">
        <v>6</v>
      </c>
      <c r="F117">
        <v>5.5</v>
      </c>
      <c r="G117">
        <v>4.5999999999999996</v>
      </c>
      <c r="H117">
        <v>8</v>
      </c>
      <c r="I117">
        <v>10</v>
      </c>
      <c r="J117">
        <v>8</v>
      </c>
      <c r="K117" s="3">
        <f>SUM(Table2[[#This Row],[Insulin AM]:[Insulin PM]])</f>
        <v>18</v>
      </c>
    </row>
    <row r="118" spans="1:11" x14ac:dyDescent="0.3">
      <c r="A118" s="1">
        <v>45575</v>
      </c>
      <c r="B118" s="2">
        <v>82.5</v>
      </c>
      <c r="C118">
        <v>4.9000000000000004</v>
      </c>
      <c r="D118" s="2">
        <v>3.8</v>
      </c>
      <c r="E118">
        <v>5.0999999999999996</v>
      </c>
      <c r="F118">
        <v>8.5</v>
      </c>
      <c r="G118">
        <v>4.5999999999999996</v>
      </c>
      <c r="H118">
        <v>5.5</v>
      </c>
      <c r="I118">
        <v>10</v>
      </c>
      <c r="J118">
        <v>8</v>
      </c>
      <c r="K118" s="3">
        <f>SUM(Table2[[#This Row],[Insulin AM]:[Insulin PM]])</f>
        <v>18</v>
      </c>
    </row>
    <row r="119" spans="1:11" x14ac:dyDescent="0.3">
      <c r="A119" s="1">
        <v>45576</v>
      </c>
      <c r="B119" s="2">
        <v>81.3</v>
      </c>
      <c r="C119">
        <v>5</v>
      </c>
      <c r="D119" s="2">
        <v>4.8</v>
      </c>
      <c r="E119">
        <v>9.4</v>
      </c>
      <c r="F119">
        <v>3.4</v>
      </c>
      <c r="G119">
        <v>8.4</v>
      </c>
      <c r="H119">
        <v>5</v>
      </c>
      <c r="I119">
        <v>10</v>
      </c>
      <c r="J119">
        <v>8</v>
      </c>
      <c r="K119" s="3">
        <f>SUM(Table2[[#This Row],[Insulin AM]:[Insulin PM]])</f>
        <v>18</v>
      </c>
    </row>
    <row r="120" spans="1:11" x14ac:dyDescent="0.3">
      <c r="A120" s="1">
        <v>45577</v>
      </c>
      <c r="B120" s="2">
        <v>81.5</v>
      </c>
      <c r="C120">
        <v>3.9</v>
      </c>
      <c r="D120" s="2">
        <v>5.0999999999999996</v>
      </c>
      <c r="E120">
        <v>4.2</v>
      </c>
      <c r="F120">
        <v>4.5999999999999996</v>
      </c>
      <c r="G120">
        <v>7.7</v>
      </c>
      <c r="H120">
        <v>5</v>
      </c>
      <c r="I120">
        <v>10</v>
      </c>
      <c r="J120">
        <v>8</v>
      </c>
      <c r="K120" s="3">
        <f>SUM(Table2[[#This Row],[Insulin AM]:[Insulin PM]])</f>
        <v>18</v>
      </c>
    </row>
    <row r="121" spans="1:11" x14ac:dyDescent="0.3">
      <c r="A121" s="1">
        <v>45578</v>
      </c>
      <c r="B121" s="2">
        <v>81</v>
      </c>
      <c r="C121">
        <v>5.7</v>
      </c>
      <c r="D121" s="2">
        <v>3.7</v>
      </c>
      <c r="E121">
        <v>5.6</v>
      </c>
      <c r="F121">
        <v>4.5</v>
      </c>
      <c r="G121">
        <v>5.2</v>
      </c>
      <c r="H121">
        <v>5.8</v>
      </c>
      <c r="I121">
        <v>10</v>
      </c>
      <c r="J121">
        <v>8</v>
      </c>
      <c r="K121" s="3">
        <f>SUM(Table2[[#This Row],[Insulin AM]:[Insulin PM]])</f>
        <v>18</v>
      </c>
    </row>
    <row r="122" spans="1:11" x14ac:dyDescent="0.3">
      <c r="A122" s="1">
        <v>45579</v>
      </c>
      <c r="B122" s="2">
        <v>80.900000000000006</v>
      </c>
      <c r="C122">
        <v>3.5</v>
      </c>
      <c r="D122" s="2">
        <v>5</v>
      </c>
      <c r="E122">
        <v>5.4</v>
      </c>
      <c r="F122">
        <v>6</v>
      </c>
      <c r="G122">
        <v>5.0999999999999996</v>
      </c>
      <c r="H122">
        <v>6.7</v>
      </c>
      <c r="I122">
        <v>10</v>
      </c>
      <c r="J122">
        <v>8</v>
      </c>
      <c r="K122" s="3">
        <f>SUM(Table2[[#This Row],[Insulin AM]:[Insulin PM]])</f>
        <v>18</v>
      </c>
    </row>
    <row r="123" spans="1:11" x14ac:dyDescent="0.3">
      <c r="A123" s="1">
        <v>45580</v>
      </c>
      <c r="B123" s="2">
        <v>80.400000000000006</v>
      </c>
      <c r="C123">
        <v>4.2</v>
      </c>
      <c r="D123" s="2">
        <v>7.8</v>
      </c>
      <c r="E123">
        <v>4.5999999999999996</v>
      </c>
      <c r="F123">
        <v>7.2</v>
      </c>
      <c r="G123">
        <v>4.8</v>
      </c>
      <c r="H123">
        <v>7</v>
      </c>
      <c r="I123">
        <v>10</v>
      </c>
      <c r="J123">
        <v>8</v>
      </c>
      <c r="K123" s="3">
        <f>SUM(Table2[[#This Row],[Insulin AM]:[Insulin PM]])</f>
        <v>18</v>
      </c>
    </row>
    <row r="124" spans="1:11" x14ac:dyDescent="0.3">
      <c r="A124" s="1">
        <v>45581</v>
      </c>
      <c r="B124" s="2">
        <v>79.5</v>
      </c>
      <c r="C124">
        <v>5.5</v>
      </c>
      <c r="D124" s="2">
        <v>5.7</v>
      </c>
      <c r="E124">
        <v>5.0999999999999996</v>
      </c>
      <c r="F124">
        <v>3.3</v>
      </c>
      <c r="G124">
        <v>8</v>
      </c>
      <c r="H124">
        <v>3.9</v>
      </c>
      <c r="I124">
        <v>10</v>
      </c>
      <c r="J124">
        <v>8</v>
      </c>
      <c r="K124" s="3">
        <f>SUM(Table2[[#This Row],[Insulin AM]:[Insulin PM]])</f>
        <v>18</v>
      </c>
    </row>
    <row r="125" spans="1:11" x14ac:dyDescent="0.3">
      <c r="A125" s="1">
        <v>45582</v>
      </c>
      <c r="B125" s="2">
        <v>80.2</v>
      </c>
      <c r="C125">
        <v>5.0999999999999996</v>
      </c>
      <c r="D125" s="2">
        <v>7.9</v>
      </c>
      <c r="E125">
        <v>8</v>
      </c>
      <c r="F125">
        <v>8</v>
      </c>
      <c r="G125">
        <v>6.3</v>
      </c>
      <c r="H125">
        <v>3.1</v>
      </c>
      <c r="I125">
        <v>10</v>
      </c>
      <c r="J125">
        <v>8</v>
      </c>
      <c r="K125" s="3">
        <f>SUM(Table2[[#This Row],[Insulin AM]:[Insulin PM]])</f>
        <v>18</v>
      </c>
    </row>
    <row r="126" spans="1:11" x14ac:dyDescent="0.3">
      <c r="A126" s="1">
        <v>45583</v>
      </c>
      <c r="B126" s="2">
        <v>82.1</v>
      </c>
      <c r="C126">
        <v>5.2</v>
      </c>
      <c r="D126" s="2">
        <v>5</v>
      </c>
      <c r="E126">
        <v>5</v>
      </c>
      <c r="F126">
        <v>6.1</v>
      </c>
      <c r="G126">
        <v>6.7</v>
      </c>
      <c r="H126">
        <v>8</v>
      </c>
      <c r="I126">
        <v>10</v>
      </c>
      <c r="J126">
        <v>8</v>
      </c>
      <c r="K126" s="3">
        <f>SUM(Table2[[#This Row],[Insulin AM]:[Insulin PM]])</f>
        <v>18</v>
      </c>
    </row>
    <row r="127" spans="1:11" x14ac:dyDescent="0.3">
      <c r="A127" s="1">
        <v>45584</v>
      </c>
      <c r="B127" s="2">
        <v>81.599999999999994</v>
      </c>
      <c r="C127">
        <v>7.3</v>
      </c>
      <c r="D127" s="2">
        <v>6.7</v>
      </c>
      <c r="E127">
        <v>7</v>
      </c>
      <c r="F127">
        <v>7.6</v>
      </c>
      <c r="G127">
        <v>9.6</v>
      </c>
      <c r="H127">
        <v>5.6</v>
      </c>
      <c r="I127">
        <v>10</v>
      </c>
      <c r="J127">
        <v>8</v>
      </c>
      <c r="K127" s="3">
        <f>SUM(Table2[[#This Row],[Insulin AM]:[Insulin PM]])</f>
        <v>18</v>
      </c>
    </row>
    <row r="128" spans="1:11" x14ac:dyDescent="0.3">
      <c r="A128" s="1">
        <v>45585</v>
      </c>
      <c r="B128" s="2">
        <v>80.900000000000006</v>
      </c>
      <c r="C128">
        <v>7</v>
      </c>
      <c r="D128" s="2">
        <v>3.6</v>
      </c>
      <c r="E128">
        <v>6.5</v>
      </c>
      <c r="F128">
        <v>5.8</v>
      </c>
      <c r="G128">
        <v>7.5</v>
      </c>
      <c r="H128">
        <v>7</v>
      </c>
      <c r="I128">
        <v>10</v>
      </c>
      <c r="J128">
        <v>8</v>
      </c>
      <c r="K128" s="3">
        <f>SUM(Table2[[#This Row],[Insulin AM]:[Insulin PM]])</f>
        <v>18</v>
      </c>
    </row>
    <row r="129" spans="1:11" x14ac:dyDescent="0.3">
      <c r="A129" s="1">
        <v>45586</v>
      </c>
      <c r="B129" s="2">
        <v>82</v>
      </c>
      <c r="C129">
        <v>6.8</v>
      </c>
      <c r="D129" s="2">
        <v>6.5</v>
      </c>
      <c r="E129">
        <v>6.8</v>
      </c>
      <c r="F129">
        <v>4.8</v>
      </c>
      <c r="G129">
        <v>5.6</v>
      </c>
      <c r="H129">
        <v>6.3</v>
      </c>
      <c r="I129">
        <v>10</v>
      </c>
      <c r="J129">
        <v>8</v>
      </c>
      <c r="K129" s="3">
        <f>SUM(Table2[[#This Row],[Insulin AM]:[Insulin PM]])</f>
        <v>18</v>
      </c>
    </row>
    <row r="130" spans="1:11" x14ac:dyDescent="0.3">
      <c r="A130" s="1">
        <v>45587</v>
      </c>
      <c r="B130" s="2">
        <v>81.2</v>
      </c>
      <c r="C130">
        <v>6.6</v>
      </c>
      <c r="D130" s="2"/>
      <c r="I130">
        <v>10</v>
      </c>
      <c r="J130">
        <v>8</v>
      </c>
      <c r="K130" s="3">
        <f>SUM(Table2[[#This Row],[Insulin AM]:[Insulin PM]])</f>
        <v>18</v>
      </c>
    </row>
    <row r="133" spans="1:11" x14ac:dyDescent="0.3">
      <c r="B133" t="s">
        <v>13</v>
      </c>
      <c r="H133" t="s">
        <v>2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 Everts</dc:creator>
  <cp:lastModifiedBy>Charl Everts</cp:lastModifiedBy>
  <dcterms:created xsi:type="dcterms:W3CDTF">2024-06-20T20:50:30Z</dcterms:created>
  <dcterms:modified xsi:type="dcterms:W3CDTF">2024-10-22T06:14:25Z</dcterms:modified>
</cp:coreProperties>
</file>